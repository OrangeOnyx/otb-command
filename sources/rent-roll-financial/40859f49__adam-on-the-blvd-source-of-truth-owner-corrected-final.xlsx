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am\Downloads\PLATS SITE PLAN\"/>
    </mc:Choice>
  </mc:AlternateContent>
  <xr:revisionPtr revIDLastSave="0" documentId="8_{12ABD5FA-CEE2-4286-BDEC-666D4450212F}" xr6:coauthVersionLast="47" xr6:coauthVersionMax="47" xr10:uidLastSave="{00000000-0000-0000-0000-000000000000}"/>
  <bookViews>
    <workbookView xWindow="6435" yWindow="2955" windowWidth="38700" windowHeight="15345" activeTab="4" xr2:uid="{00000000-000D-0000-FFFF-FFFF00000000}"/>
  </bookViews>
  <sheets>
    <sheet name="READ_ME_PRO" sheetId="1" r:id="rId1"/>
    <sheet name="QC_SUMMARY_PRO" sheetId="2" r:id="rId2"/>
    <sheet name="CHANGE_LOG_PRO" sheetId="3" r:id="rId3"/>
    <sheet name="DECISION_LOG_PRO" sheetId="4" r:id="rId4"/>
    <sheet name="SOURCE_OF_TRUTH_PRO" sheetId="5" r:id="rId5"/>
    <sheet name="LEASE_GROUPS_PRO" sheetId="6" r:id="rId6"/>
    <sheet name="ALL_UNITS_CLEAN_PRO" sheetId="7" r:id="rId7"/>
    <sheet name="PARKING_AGREEMENTS" sheetId="8" r:id="rId8"/>
    <sheet name="SOURCE_OF_TRUTH" sheetId="9" r:id="rId9"/>
    <sheet name="ANALYSIS_SUMMARY" sheetId="10" r:id="rId10"/>
    <sheet name="Adobe Attempt" sheetId="11" r:id="rId11"/>
    <sheet name="Doorloop Attempt" sheetId="12" r:id="rId12"/>
    <sheet name="DoorLoop Try 2" sheetId="13" r:id="rId13"/>
    <sheet name="Adobe Try 2" sheetId="14" r:id="rId14"/>
    <sheet name="Doorloop Try 3" sheetId="15" r:id="rId15"/>
    <sheet name="All Units" sheetId="16" r:id="rId16"/>
    <sheet name="FINAL_READ_ME" sheetId="17" r:id="rId17"/>
    <sheet name="SIGNED_RENT_ROLL_FINAL" sheetId="18" r:id="rId18"/>
    <sheet name="FINAL_UNIT_SOT" sheetId="19" r:id="rId19"/>
    <sheet name="DECISION_LOG_FINAL" sheetId="20" r:id="rId20"/>
    <sheet name="QC_SUMMARY_FINAL" sheetId="21" r:id="rId21"/>
    <sheet name="IMPORT_STAGING_REFERENCE" sheetId="22" r:id="rId22"/>
    <sheet name="OWNER_CORRECTIONS_APPLIED"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5" l="1"/>
  <c r="U28" i="5"/>
  <c r="U27" i="5"/>
  <c r="U26" i="5"/>
  <c r="U25" i="5"/>
  <c r="U24" i="5"/>
  <c r="U23" i="5"/>
  <c r="U22" i="5"/>
  <c r="U21" i="5"/>
  <c r="U20" i="5"/>
  <c r="U19" i="5"/>
  <c r="U18" i="5"/>
  <c r="U17" i="5"/>
  <c r="U16" i="5"/>
  <c r="U15" i="5"/>
  <c r="U14" i="5"/>
  <c r="U13" i="5"/>
  <c r="U12" i="5"/>
  <c r="U11" i="5"/>
  <c r="U10" i="5"/>
  <c r="U9" i="5"/>
  <c r="U8" i="5"/>
  <c r="U7" i="5"/>
  <c r="U6" i="5"/>
  <c r="U5" i="5"/>
  <c r="U4" i="5"/>
  <c r="U3" i="5"/>
  <c r="U2" i="5"/>
  <c r="Z3" i="5"/>
  <c r="Z28" i="5"/>
  <c r="Z27" i="5"/>
  <c r="Z26" i="5"/>
  <c r="Z25" i="5"/>
  <c r="Z24" i="5"/>
  <c r="Z23" i="5"/>
  <c r="Z22" i="5"/>
  <c r="Z21" i="5"/>
  <c r="Z20" i="5"/>
  <c r="Z19" i="5"/>
  <c r="Z18" i="5"/>
  <c r="Z17" i="5"/>
  <c r="Z16" i="5"/>
  <c r="Z15" i="5"/>
  <c r="Z14" i="5"/>
  <c r="Z13" i="5"/>
  <c r="Z12" i="5"/>
  <c r="Z11" i="5"/>
  <c r="Z10" i="5"/>
  <c r="Z9" i="5"/>
  <c r="Z8" i="5"/>
  <c r="Z7" i="5"/>
  <c r="Z6" i="5"/>
  <c r="Z5" i="5"/>
  <c r="Z4" i="5"/>
  <c r="O28" i="19"/>
  <c r="P28" i="19" s="1"/>
  <c r="F28" i="19"/>
  <c r="F27" i="19"/>
  <c r="O26" i="19"/>
  <c r="P26" i="19" s="1"/>
  <c r="F26" i="19"/>
  <c r="O25" i="19"/>
  <c r="P25" i="19" s="1"/>
  <c r="F25" i="19"/>
  <c r="O24" i="19"/>
  <c r="P24" i="19" s="1"/>
  <c r="F24" i="19"/>
  <c r="O23" i="19"/>
  <c r="P23" i="19" s="1"/>
  <c r="F23" i="19"/>
  <c r="F22" i="19"/>
  <c r="O21" i="19"/>
  <c r="P21" i="19" s="1"/>
  <c r="F21" i="19"/>
  <c r="O20" i="19"/>
  <c r="P20" i="19" s="1"/>
  <c r="F20" i="19"/>
  <c r="O19" i="19"/>
  <c r="P19" i="19" s="1"/>
  <c r="F19" i="19"/>
  <c r="O18" i="19"/>
  <c r="P18" i="19" s="1"/>
  <c r="F18" i="19"/>
  <c r="O17" i="19"/>
  <c r="P17" i="19" s="1"/>
  <c r="F17" i="19"/>
  <c r="O16" i="19"/>
  <c r="P16" i="19" s="1"/>
  <c r="F16" i="19"/>
  <c r="O15" i="19"/>
  <c r="P15" i="19" s="1"/>
  <c r="F15" i="19"/>
  <c r="O14" i="19"/>
  <c r="P14" i="19" s="1"/>
  <c r="F14" i="19"/>
  <c r="F13" i="19"/>
  <c r="O12" i="19"/>
  <c r="P12" i="19" s="1"/>
  <c r="F12" i="19"/>
  <c r="O11" i="19"/>
  <c r="P11" i="19" s="1"/>
  <c r="F11" i="19"/>
  <c r="O10" i="19"/>
  <c r="P10" i="19" s="1"/>
  <c r="F10" i="19"/>
  <c r="P9" i="19"/>
  <c r="O9" i="19"/>
  <c r="F9" i="19"/>
  <c r="O8" i="19"/>
  <c r="P8" i="19" s="1"/>
  <c r="F8" i="19"/>
  <c r="O7" i="19"/>
  <c r="P7" i="19" s="1"/>
  <c r="F7" i="19"/>
  <c r="O6" i="19"/>
  <c r="P6" i="19" s="1"/>
  <c r="F6" i="19"/>
  <c r="O5" i="19"/>
  <c r="P5" i="19" s="1"/>
  <c r="F5" i="19"/>
  <c r="O4" i="19"/>
  <c r="P4" i="19" s="1"/>
  <c r="F4" i="19"/>
  <c r="L24" i="18"/>
  <c r="M24" i="18" s="1"/>
  <c r="I24" i="18"/>
  <c r="J24" i="18" s="1"/>
  <c r="L22" i="18"/>
  <c r="M22" i="18" s="1"/>
  <c r="I22" i="18"/>
  <c r="J22" i="18" s="1"/>
  <c r="L21" i="18"/>
  <c r="M21" i="18" s="1"/>
  <c r="I21" i="18"/>
  <c r="J21" i="18" s="1"/>
  <c r="L20" i="18"/>
  <c r="M20" i="18" s="1"/>
  <c r="I20" i="18"/>
  <c r="J20" i="18" s="1"/>
  <c r="L19" i="18"/>
  <c r="M19" i="18" s="1"/>
  <c r="I19" i="18"/>
  <c r="J19" i="18" s="1"/>
  <c r="L18" i="18"/>
  <c r="M18" i="18" s="1"/>
  <c r="I18" i="18"/>
  <c r="J18" i="18" s="1"/>
  <c r="L17" i="18"/>
  <c r="M17" i="18" s="1"/>
  <c r="I17" i="18"/>
  <c r="J17" i="18" s="1"/>
  <c r="L16" i="18"/>
  <c r="M16" i="18" s="1"/>
  <c r="I16" i="18"/>
  <c r="J16" i="18" s="1"/>
  <c r="L15" i="18"/>
  <c r="M15" i="18" s="1"/>
  <c r="I15" i="18"/>
  <c r="J15" i="18" s="1"/>
  <c r="L14" i="18"/>
  <c r="M14" i="18" s="1"/>
  <c r="I14" i="18"/>
  <c r="J14" i="18" s="1"/>
  <c r="L13" i="18"/>
  <c r="M13" i="18" s="1"/>
  <c r="I13" i="18"/>
  <c r="J13" i="18" s="1"/>
  <c r="L12" i="18"/>
  <c r="M12" i="18" s="1"/>
  <c r="I12" i="18"/>
  <c r="J12" i="18" s="1"/>
  <c r="L11" i="18"/>
  <c r="M11" i="18" s="1"/>
  <c r="I11" i="18"/>
  <c r="J11" i="18" s="1"/>
  <c r="L10" i="18"/>
  <c r="M10" i="18" s="1"/>
  <c r="I10" i="18"/>
  <c r="J10" i="18" s="1"/>
  <c r="L9" i="18"/>
  <c r="M9" i="18" s="1"/>
  <c r="I9" i="18"/>
  <c r="J9" i="18" s="1"/>
  <c r="L8" i="18"/>
  <c r="M8" i="18" s="1"/>
  <c r="I8" i="18"/>
  <c r="J8" i="18" s="1"/>
  <c r="L7" i="18"/>
  <c r="M7" i="18" s="1"/>
  <c r="I7" i="18"/>
  <c r="J7" i="18" s="1"/>
  <c r="L6" i="18"/>
  <c r="M6" i="18" s="1"/>
  <c r="I6" i="18"/>
  <c r="J6" i="18" s="1"/>
  <c r="L5" i="18"/>
  <c r="M5" i="18" s="1"/>
  <c r="I5" i="18"/>
  <c r="J5" i="18" s="1"/>
  <c r="L4" i="18"/>
  <c r="M4" i="18" s="1"/>
  <c r="I4" i="18"/>
  <c r="J4" i="18" s="1"/>
  <c r="L3" i="18"/>
  <c r="M3" i="18" s="1"/>
  <c r="I3" i="18"/>
  <c r="J3" i="18" s="1"/>
  <c r="C24" i="14"/>
  <c r="Y24" i="12"/>
  <c r="S24" i="12"/>
  <c r="Y23" i="12"/>
  <c r="S23" i="12"/>
  <c r="Y22" i="12"/>
  <c r="S22" i="12"/>
  <c r="Y21" i="12"/>
  <c r="S21" i="12"/>
  <c r="Y20" i="12"/>
  <c r="S20" i="12"/>
  <c r="Y19" i="12"/>
  <c r="S19" i="12"/>
  <c r="Y18" i="12"/>
  <c r="S18" i="12"/>
  <c r="Y17" i="12"/>
  <c r="S17" i="12"/>
  <c r="Y16" i="12"/>
  <c r="S16" i="12"/>
  <c r="Y15" i="12"/>
  <c r="S15" i="12"/>
  <c r="Y14" i="12"/>
  <c r="S14" i="12"/>
  <c r="Y13" i="12"/>
  <c r="S13" i="12"/>
  <c r="Y12" i="12"/>
  <c r="S12" i="12"/>
  <c r="Y11" i="12"/>
  <c r="S11" i="12"/>
  <c r="Y10" i="12"/>
  <c r="S10" i="12"/>
  <c r="Y9" i="12"/>
  <c r="S9" i="12"/>
  <c r="Y8" i="12"/>
  <c r="S8" i="12"/>
  <c r="Y7" i="12"/>
  <c r="S7" i="12"/>
  <c r="Y6" i="12"/>
  <c r="S6" i="12"/>
  <c r="Y5" i="12"/>
  <c r="S5" i="12"/>
  <c r="Y4" i="12"/>
  <c r="S4" i="12"/>
  <c r="Y3" i="12"/>
  <c r="S3" i="12"/>
  <c r="X2" i="12"/>
  <c r="Y2" i="12" s="1"/>
  <c r="S2" i="12"/>
  <c r="C24" i="11"/>
  <c r="G24" i="6"/>
  <c r="G23" i="6"/>
  <c r="G22" i="6"/>
  <c r="G21" i="6"/>
  <c r="G20" i="6"/>
  <c r="G19" i="6"/>
  <c r="G18" i="6"/>
  <c r="G17" i="6"/>
  <c r="G16" i="6"/>
  <c r="G15" i="6"/>
  <c r="G14" i="6"/>
  <c r="G13" i="6"/>
  <c r="G12" i="6"/>
  <c r="G11" i="6"/>
  <c r="G10" i="6"/>
  <c r="G9" i="6"/>
  <c r="G8" i="6"/>
  <c r="G7" i="6"/>
  <c r="G6" i="6"/>
  <c r="G5" i="6"/>
  <c r="G4" i="6"/>
  <c r="G3" i="6"/>
  <c r="G2" i="6"/>
  <c r="AJ28" i="5"/>
  <c r="AI28" i="5"/>
  <c r="AE28" i="5"/>
  <c r="AO28" i="5" s="1"/>
  <c r="R28" i="5"/>
  <c r="R27" i="5"/>
  <c r="AO27" i="5" s="1"/>
  <c r="AJ26" i="5"/>
  <c r="AI26" i="5"/>
  <c r="AE26" i="5"/>
  <c r="AO26" i="5" s="1"/>
  <c r="R26" i="5"/>
  <c r="AJ25" i="5"/>
  <c r="AI25" i="5"/>
  <c r="AE25" i="5"/>
  <c r="AO25" i="5" s="1"/>
  <c r="R25" i="5"/>
  <c r="AJ24" i="5"/>
  <c r="AI24" i="5"/>
  <c r="AE24" i="5"/>
  <c r="R24" i="5"/>
  <c r="AJ23" i="5"/>
  <c r="AI23" i="5"/>
  <c r="AE23" i="5"/>
  <c r="R23" i="5"/>
  <c r="AJ22" i="5"/>
  <c r="AI22" i="5"/>
  <c r="AE22" i="5"/>
  <c r="R22" i="5"/>
  <c r="AJ21" i="5"/>
  <c r="AI21" i="5"/>
  <c r="AE21" i="5"/>
  <c r="R21" i="5"/>
  <c r="AJ20" i="5"/>
  <c r="AI20" i="5"/>
  <c r="AE20" i="5"/>
  <c r="AO20" i="5" s="1"/>
  <c r="R20" i="5"/>
  <c r="AJ19" i="5"/>
  <c r="AI19" i="5"/>
  <c r="AE19" i="5"/>
  <c r="AO19" i="5" s="1"/>
  <c r="R19" i="5"/>
  <c r="AJ18" i="5"/>
  <c r="AI18" i="5"/>
  <c r="AE18" i="5"/>
  <c r="R18" i="5"/>
  <c r="AJ17" i="5"/>
  <c r="AI17" i="5"/>
  <c r="AE17" i="5"/>
  <c r="R17" i="5"/>
  <c r="AJ16" i="5"/>
  <c r="AI16" i="5"/>
  <c r="AE16" i="5"/>
  <c r="AO16" i="5" s="1"/>
  <c r="R16" i="5"/>
  <c r="AJ15" i="5"/>
  <c r="AI15" i="5"/>
  <c r="AE15" i="5"/>
  <c r="AO15" i="5" s="1"/>
  <c r="R15" i="5"/>
  <c r="AJ14" i="5"/>
  <c r="AI14" i="5"/>
  <c r="AE14" i="5"/>
  <c r="R14" i="5"/>
  <c r="AJ13" i="5"/>
  <c r="AI13" i="5"/>
  <c r="AE13" i="5"/>
  <c r="AO13" i="5" s="1"/>
  <c r="R13" i="5"/>
  <c r="AJ12" i="5"/>
  <c r="AI12" i="5"/>
  <c r="AE12" i="5"/>
  <c r="R12" i="5"/>
  <c r="AJ11" i="5"/>
  <c r="AI11" i="5"/>
  <c r="AE11" i="5"/>
  <c r="AO11" i="5" s="1"/>
  <c r="R11" i="5"/>
  <c r="AJ10" i="5"/>
  <c r="AI10" i="5"/>
  <c r="AE10" i="5"/>
  <c r="AO10" i="5" s="1"/>
  <c r="R10" i="5"/>
  <c r="AJ9" i="5"/>
  <c r="AI9" i="5"/>
  <c r="AE9" i="5"/>
  <c r="R9" i="5"/>
  <c r="AJ8" i="5"/>
  <c r="AI8" i="5"/>
  <c r="AE8" i="5"/>
  <c r="R8" i="5"/>
  <c r="AJ7" i="5"/>
  <c r="AI7" i="5"/>
  <c r="AE7" i="5"/>
  <c r="AO7" i="5" s="1"/>
  <c r="R7" i="5"/>
  <c r="AJ6" i="5"/>
  <c r="AI6" i="5"/>
  <c r="AE6" i="5"/>
  <c r="AO6" i="5" s="1"/>
  <c r="R6" i="5"/>
  <c r="AJ5" i="5"/>
  <c r="AI5" i="5"/>
  <c r="AE5" i="5"/>
  <c r="R5" i="5"/>
  <c r="AJ4" i="5"/>
  <c r="AI4" i="5"/>
  <c r="AE4" i="5"/>
  <c r="AO4" i="5" s="1"/>
  <c r="R4" i="5"/>
  <c r="AN3" i="5"/>
  <c r="AM3" i="5"/>
  <c r="AL3" i="5"/>
  <c r="AK3" i="5"/>
  <c r="AJ3" i="5"/>
  <c r="AI3" i="5"/>
  <c r="AE3" i="5"/>
  <c r="AO3" i="5" s="1"/>
  <c r="AN2" i="5"/>
  <c r="AM2" i="5"/>
  <c r="AL2" i="5"/>
  <c r="AK2" i="5"/>
  <c r="AJ2" i="5"/>
  <c r="AI2" i="5"/>
  <c r="AE2" i="5"/>
  <c r="AO2" i="5" s="1"/>
  <c r="AO23" i="5" l="1"/>
  <c r="AO18" i="5"/>
  <c r="AO17" i="5"/>
  <c r="AO24" i="5"/>
  <c r="AO14" i="5"/>
  <c r="AO9" i="5"/>
  <c r="AO22" i="5"/>
  <c r="AO21" i="5"/>
  <c r="AO8" i="5"/>
  <c r="AO5" i="5"/>
  <c r="AO12" i="5"/>
  <c r="AP21" i="5"/>
  <c r="AM21" i="5"/>
  <c r="AN21" i="5"/>
  <c r="AL28" i="5"/>
  <c r="AP28" i="5"/>
  <c r="AK28" i="5"/>
  <c r="AM28" i="5"/>
  <c r="AN28" i="5"/>
  <c r="AL27" i="5"/>
  <c r="AP27" i="5"/>
  <c r="AK27" i="5"/>
  <c r="AM27" i="5"/>
  <c r="AN27" i="5"/>
  <c r="AP26" i="5"/>
  <c r="AN26" i="5"/>
  <c r="AK26" i="5"/>
  <c r="AM26" i="5"/>
  <c r="AL26" i="5"/>
  <c r="AP25" i="5"/>
  <c r="AK25" i="5"/>
  <c r="AM25" i="5"/>
  <c r="AL25" i="5"/>
  <c r="AN25" i="5"/>
  <c r="AN24" i="5"/>
  <c r="AM24" i="5"/>
  <c r="AL24" i="5"/>
  <c r="AK24" i="5"/>
  <c r="AP24" i="5"/>
  <c r="AN23" i="5"/>
  <c r="AL23" i="5"/>
  <c r="AK23" i="5"/>
  <c r="AM23" i="5"/>
  <c r="AP23" i="5"/>
  <c r="AN22" i="5"/>
  <c r="AP22" i="5"/>
  <c r="AL22" i="5"/>
  <c r="AM22" i="5"/>
  <c r="AK22" i="5"/>
  <c r="AL21" i="5"/>
  <c r="AK21" i="5"/>
  <c r="AM20" i="5"/>
  <c r="AN20" i="5"/>
  <c r="AK20" i="5"/>
  <c r="AP20" i="5"/>
  <c r="AL20" i="5"/>
  <c r="AL19" i="5"/>
  <c r="AM19" i="5"/>
  <c r="AN19" i="5"/>
  <c r="AP19" i="5"/>
  <c r="AK19" i="5"/>
  <c r="AM18" i="5"/>
  <c r="AL18" i="5"/>
  <c r="AK18" i="5"/>
  <c r="AP18" i="5"/>
  <c r="AN18" i="5"/>
  <c r="AM17" i="5"/>
  <c r="AP17" i="5"/>
  <c r="AK17" i="5"/>
  <c r="AL17" i="5"/>
  <c r="AN17" i="5"/>
  <c r="AL16" i="5"/>
  <c r="AM16" i="5"/>
  <c r="AK16" i="5"/>
  <c r="AN16" i="5"/>
  <c r="AP16" i="5"/>
  <c r="AN15" i="5"/>
  <c r="AP15" i="5"/>
  <c r="AL15" i="5"/>
  <c r="AM15" i="5"/>
  <c r="AK15" i="5"/>
  <c r="AM14" i="5"/>
  <c r="AK14" i="5"/>
  <c r="AN14" i="5"/>
  <c r="AP14" i="5"/>
  <c r="AL14" i="5"/>
  <c r="AN13" i="5"/>
  <c r="AP13" i="5"/>
  <c r="AL13" i="5"/>
  <c r="AK13" i="5"/>
  <c r="AM13" i="5"/>
  <c r="AL12" i="5"/>
  <c r="AM12" i="5"/>
  <c r="AP12" i="5"/>
  <c r="AN12" i="5"/>
  <c r="AK12" i="5"/>
  <c r="AN11" i="5"/>
  <c r="AM11" i="5"/>
  <c r="AP11" i="5"/>
  <c r="AK11" i="5"/>
  <c r="AL11" i="5"/>
  <c r="AP10" i="5"/>
  <c r="AL10" i="5"/>
  <c r="AN10" i="5"/>
  <c r="AM10" i="5"/>
  <c r="AK10" i="5"/>
  <c r="AM9" i="5"/>
  <c r="AK9" i="5"/>
  <c r="AN9" i="5"/>
  <c r="AL9" i="5"/>
  <c r="AP9" i="5"/>
  <c r="AN8" i="5"/>
  <c r="AL8" i="5"/>
  <c r="AM8" i="5"/>
  <c r="AP8" i="5"/>
  <c r="AK8" i="5"/>
  <c r="AM7" i="5"/>
  <c r="AK7" i="5"/>
  <c r="AN7" i="5"/>
  <c r="AP7" i="5"/>
  <c r="AL7" i="5"/>
  <c r="AN6" i="5"/>
  <c r="AM6" i="5"/>
  <c r="AL6" i="5"/>
  <c r="AK6" i="5"/>
  <c r="AP6" i="5"/>
  <c r="AL5" i="5"/>
  <c r="AK5" i="5"/>
  <c r="AN5" i="5"/>
  <c r="AM5" i="5"/>
  <c r="AP5" i="5"/>
  <c r="AP4" i="5"/>
  <c r="AM4" i="5"/>
  <c r="AK4" i="5"/>
  <c r="AN4" i="5"/>
  <c r="AL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1" authorId="0" shapeId="0" xr:uid="{00000000-0006-0000-0B00-000001000000}">
      <text>
        <r>
          <rPr>
            <sz val="11"/>
            <color theme="1"/>
            <rFont val="Aptos Narrow"/>
          </rPr>
          <t>======
ID#AAAB1iTtIpM
Anonymous    (2026-03-09 22:33:15)
Units with the same Property Name and Street Address will be grouped together on the same property. 
Either change the Property Name or Street Address to ungroup them.</t>
        </r>
      </text>
    </comment>
    <comment ref="K1" authorId="0" shapeId="0" xr:uid="{00000000-0006-0000-0B00-000002000000}">
      <text>
        <r>
          <rPr>
            <sz val="11"/>
            <color theme="1"/>
            <rFont val="Aptos Narrow"/>
          </rPr>
          <t>======
ID#AAAB1iGKcTU
Anonymous    (2026-03-09 22:33:15)
This is the price you would list this unit for online if you were to rent it out.</t>
        </r>
      </text>
    </comment>
    <comment ref="L1" authorId="0" shapeId="0" xr:uid="{00000000-0006-0000-0B00-000003000000}">
      <text>
        <r>
          <rPr>
            <sz val="11"/>
            <color theme="1"/>
            <rFont val="Aptos Narrow"/>
          </rPr>
          <t>======
ID#AAAB1iGKcTI
Anonymous    (2026-03-09 22:33:15)
The date should be 
year-month-day 
like 2023-05-01</t>
        </r>
      </text>
    </comment>
    <comment ref="M1" authorId="0" shapeId="0" xr:uid="{00000000-0006-0000-0B00-000004000000}">
      <text>
        <r>
          <rPr>
            <sz val="11"/>
            <color theme="1"/>
            <rFont val="Aptos Narrow"/>
          </rPr>
          <t>======
ID#AAAB1iTtIpU
Anonymous    (2026-03-09 22:33:15)
If the lease is a month to month without an end date, type in "Month to Month"</t>
        </r>
      </text>
    </comment>
    <comment ref="P1" authorId="0" shapeId="0" xr:uid="{00000000-0006-0000-0B00-000005000000}">
      <text>
        <r>
          <rPr>
            <sz val="11"/>
            <color theme="1"/>
            <rFont val="Aptos Narrow"/>
          </rPr>
          <t>======
ID#AAAB1iGKcTA
Anonymous    (2026-03-09 22:33:15)
Do you charge your tenants for anything else like pet fees, utilities, CAM, maintenance, taxes, etc...? If so, add the name here.</t>
        </r>
      </text>
    </comment>
    <comment ref="Q1" authorId="0" shapeId="0" xr:uid="{00000000-0006-0000-0B00-000006000000}">
      <text>
        <r>
          <rPr>
            <sz val="11"/>
            <color theme="1"/>
            <rFont val="Aptos Narrow"/>
          </rPr>
          <t>======
ID#AAAB1iGKcTQ
Anonymous    (2026-03-09 22:33:15)
Do you charge your tenants for anything else like pet fees, utilities, CAM, maintenance, taxes, etc...? If so, add the name here.</t>
        </r>
      </text>
    </comment>
    <comment ref="R1" authorId="0" shapeId="0" xr:uid="{00000000-0006-0000-0B00-000007000000}">
      <text>
        <r>
          <rPr>
            <sz val="11"/>
            <color theme="1"/>
            <rFont val="Aptos Narrow"/>
          </rPr>
          <t>======
ID#AAAB1v8cLMs
Anonymous    (2026-03-09 22:33:15)
Do you charge your tenants for anything else like pet fees, utilities, CAM, maintenance, taxes, etc...? If so, add the name here.</t>
        </r>
      </text>
    </comment>
    <comment ref="S1" authorId="0" shapeId="0" xr:uid="{00000000-0006-0000-0B00-000008000000}">
      <text>
        <r>
          <rPr>
            <sz val="11"/>
            <color theme="1"/>
            <rFont val="Aptos Narrow"/>
          </rPr>
          <t>======
ID#AAAB1iGKcTM
Anonymous    (2026-03-09 22:33:15)
Do you charge your tenants for anything else like Pet Fee, Last Month's Rent etc...? If so, add the name here.</t>
        </r>
      </text>
    </comment>
    <comment ref="Z1" authorId="0" shapeId="0" xr:uid="{00000000-0006-0000-0B00-000009000000}">
      <text>
        <r>
          <rPr>
            <sz val="11"/>
            <color theme="1"/>
            <rFont val="Aptos Narrow"/>
          </rPr>
          <t>======
ID#AAAB1iTtIpI
Anonymous    (2026-03-09 22:33:15)
How much did you collect already?</t>
        </r>
      </text>
    </comment>
    <comment ref="AC1" authorId="0" shapeId="0" xr:uid="{00000000-0006-0000-0B00-00000A000000}">
      <text>
        <r>
          <rPr>
            <sz val="11"/>
            <color theme="1"/>
            <rFont val="Aptos Narrow"/>
          </rPr>
          <t>======
ID#AAAB1iGKcTk
Daniel Sanchez-Cabrera    (2026-03-09 22:33:15)
If a tenant is listed, they must have at least 1 email or phone number, and it must be unique to that tenant.</t>
        </r>
      </text>
    </comment>
    <comment ref="AD1" authorId="0" shapeId="0" xr:uid="{00000000-0006-0000-0B00-00000B000000}">
      <text>
        <r>
          <rPr>
            <sz val="11"/>
            <color theme="1"/>
            <rFont val="Aptos Narrow"/>
          </rPr>
          <t>======
ID#AAAB1iGKcTc
Daniel Sanchez-Cabrera    (2026-03-09 22:33:15)
If a tenant is listed, they must have an email/phone number, and it must be unique to that tenant.</t>
        </r>
      </text>
    </comment>
    <comment ref="AM1" authorId="0" shapeId="0" xr:uid="{00000000-0006-0000-0B00-00000C000000}">
      <text>
        <r>
          <rPr>
            <sz val="11"/>
            <color theme="1"/>
            <rFont val="Aptos Narrow"/>
          </rPr>
          <t>======
ID#AAAB1iGKcTw
Anonymous    (2026-03-09 22:33:15)
If you are the owner, type in your information.</t>
        </r>
      </text>
    </comment>
    <comment ref="AP1" authorId="0" shapeId="0" xr:uid="{00000000-0006-0000-0B00-00000D000000}">
      <text>
        <r>
          <rPr>
            <sz val="11"/>
            <color theme="1"/>
            <rFont val="Aptos Narrow"/>
          </rPr>
          <t>======
ID#AAAB1iGKcTg
Daniel Sanchez-Cabrera    (2026-03-09 22:33:15)
If more than 1 owner is listed, the combined values must add up to 100%.</t>
        </r>
      </text>
    </comment>
    <comment ref="AQ1" authorId="0" shapeId="0" xr:uid="{00000000-0006-0000-0B00-00000E000000}">
      <text>
        <r>
          <rPr>
            <sz val="11"/>
            <color theme="1"/>
            <rFont val="Aptos Narrow"/>
          </rPr>
          <t>======
ID#AAAB1iGKcTo
Daniel Sanchez-Cabrera    (2026-03-09 22:33:15)
If an owner is listed, they must have at least 1 email or phone number, and it must be unique to that owner.</t>
        </r>
      </text>
    </comment>
    <comment ref="AR1" authorId="0" shapeId="0" xr:uid="{00000000-0006-0000-0B00-00000F000000}">
      <text>
        <r>
          <rPr>
            <sz val="11"/>
            <color theme="1"/>
            <rFont val="Aptos Narrow"/>
          </rPr>
          <t>======
ID#AAAB1iTtIpQ
Daniel Sanchez-Cabrera    (2026-03-09 22:33:15)
If an owner is listed, they must have at least 1 email or phone number, and it must be unique to that owner.</t>
        </r>
      </text>
    </comment>
    <comment ref="AY1" authorId="0" shapeId="0" xr:uid="{00000000-0006-0000-0B00-000010000000}">
      <text>
        <r>
          <rPr>
            <sz val="11"/>
            <color theme="1"/>
            <rFont val="Aptos Narrow"/>
          </rPr>
          <t>======
ID#AAAB1iGKcTE
Anonymous    (2026-03-09 22:33:15)
If you have multiple owners per property, add the second owner here. Feel free to add more columns for additional owners.</t>
        </r>
      </text>
    </comment>
    <comment ref="BD1" authorId="0" shapeId="0" xr:uid="{00000000-0006-0000-0B00-000011000000}">
      <text>
        <r>
          <rPr>
            <sz val="11"/>
            <color theme="1"/>
            <rFont val="Aptos Narrow"/>
          </rPr>
          <t>======
ID#AAAB1iGKcTs
Daniel Sanchez-Cabrera    (2026-03-09 22:33:15)
If more than 1 owner is listed, the combined values must add up to 100%.</t>
        </r>
      </text>
    </comment>
    <comment ref="BE1" authorId="0" shapeId="0" xr:uid="{00000000-0006-0000-0B00-000012000000}">
      <text>
        <r>
          <rPr>
            <sz val="11"/>
            <color theme="1"/>
            <rFont val="Aptos Narrow"/>
          </rPr>
          <t>======
ID#AAAB1iTtIpc
Daniel Sanchez-Cabrera    (2026-03-09 22:33:15)
If an owner is listed, they must have at least 1 email or phone number, and it must be unique to that owner.</t>
        </r>
      </text>
    </comment>
    <comment ref="BF1" authorId="0" shapeId="0" xr:uid="{00000000-0006-0000-0B00-000013000000}">
      <text>
        <r>
          <rPr>
            <sz val="11"/>
            <color theme="1"/>
            <rFont val="Aptos Narrow"/>
          </rPr>
          <t>======
ID#AAAB1iTtIpE
Daniel Sanchez-Cabrera    (2026-03-09 22:33:15)
If an owner is listed, they must have at least 1 email or phone number, and it must be unique to that owner.</t>
        </r>
      </text>
    </comment>
    <comment ref="BK1" authorId="0" shapeId="0" xr:uid="{00000000-0006-0000-0B00-000014000000}">
      <text>
        <r>
          <rPr>
            <sz val="11"/>
            <color theme="1"/>
            <rFont val="Aptos Narrow"/>
          </rPr>
          <t>======
ID#AAAB1iTtIpY
Anonymous    (2026-03-09 22:33:15)
After you import your information into DoorLoop you can set the late fee amount you charge.</t>
        </r>
      </text>
    </comment>
    <comment ref="BL1" authorId="0" shapeId="0" xr:uid="{00000000-0006-0000-0B00-000015000000}">
      <text>
        <r>
          <rPr>
            <sz val="11"/>
            <color theme="1"/>
            <rFont val="Aptos Narrow"/>
          </rPr>
          <t>======
ID#AAAB1iTtIpI
Anonymous    (2026-03-09 22:33:15)
How much did you collect already?</t>
        </r>
      </text>
    </comment>
  </commentList>
</comments>
</file>

<file path=xl/sharedStrings.xml><?xml version="1.0" encoding="utf-8"?>
<sst xmlns="http://schemas.openxmlformats.org/spreadsheetml/2006/main" count="5021" uniqueCount="1183">
  <si>
    <t>Purpose</t>
  </si>
  <si>
    <t>This final pass creates a clean unit-level source-of-truth sheet while preserving the original source sheets.</t>
  </si>
  <si>
    <t>Primary unit source</t>
  </si>
  <si>
    <t>All Units. It controls physical units, split units, tenant labels supplied by user, and SF.</t>
  </si>
  <si>
    <t>Current billing source</t>
  </si>
  <si>
    <t>Doorloop Attempt. It controls current monthly base rent, CAM, tax, insurance, total monthly rent, PSF, deposits, contact info, and legal entity when available.</t>
  </si>
  <si>
    <t>Lease clause source</t>
  </si>
  <si>
    <t>Adobe Attempt. It controls use clause, exclusives/prohibited uses, insurance certificate language, late fees, payment method, HVAC split, and maintenance clauses when those fields are present.</t>
  </si>
  <si>
    <t>Prior reconciliation source</t>
  </si>
  <si>
    <t>SOURCE_OF_TRUTH. Used as a supporting source and to preserve previous conflict notes.</t>
  </si>
  <si>
    <t>Sources treated as stale</t>
  </si>
  <si>
    <t>DoorLoop Try 2 appears to map tenants to wrong/old units. Doorloop Try 3 appears OCR-heavy and contains lease text artifacts. They are not used as current truth.</t>
  </si>
  <si>
    <t>Simplified plat image</t>
  </si>
  <si>
    <t>Used as a physical layout/spacing reference only. Its tenant labels appear stale versus All Units and Doorloop Attempt, so they were not used as current tenant truth.</t>
  </si>
  <si>
    <t>Combined units</t>
  </si>
  <si>
    <t>101-103, 115-117, 125-127, and 139-141 are split into individual unit rows. Unit-level economics are allocated by SF share and marked as allocated, not separate lease obligations.</t>
  </si>
  <si>
    <t>Critical review rule</t>
  </si>
  <si>
    <t>When sources conflict, the workbook keeps the selected value, the alternate values, and the recommendation in DECISION_LOG_PRO. Nothing uncertain is silently overwritten.</t>
  </si>
  <si>
    <t>Highest-priority decisions</t>
  </si>
  <si>
    <t>Confirm Unit 145 tenant/status, Magnolia draft lease, expired occupied leases, and Jason's Deli economics/term.</t>
  </si>
  <si>
    <t>How to use</t>
  </si>
  <si>
    <t>Work from DECISION_LOG_PRO first. Fill USER_FINAL_VALUE after verifying signed lease/amendment or current Doorloop billing. Then update SOURCE_OF_TRUTH_PRO.</t>
  </si>
  <si>
    <t>METRIC</t>
  </si>
  <si>
    <t>VALUE</t>
  </si>
  <si>
    <t>COMMENT</t>
  </si>
  <si>
    <t>Review date</t>
  </si>
  <si>
    <t>2026-05-11</t>
  </si>
  <si>
    <t>Statuses are derived as of this date.</t>
  </si>
  <si>
    <t>Physical units in final master</t>
  </si>
  <si>
    <t>One line per unit from All Units.</t>
  </si>
  <si>
    <t>Total SF from All Units</t>
  </si>
  <si>
    <t>Matches All Units total of 62,807 SF.</t>
  </si>
  <si>
    <t>Active records</t>
  </si>
  <si>
    <t>Derived from selected current term dates.</t>
  </si>
  <si>
    <t>Expired/needs lease review</t>
  </si>
  <si>
    <t>Occupied tenant listed but lease end date is before review date.</t>
  </si>
  <si>
    <t>Vacant records</t>
  </si>
  <si>
    <t>Units 131 and 133 remain vacant in source data.</t>
  </si>
  <si>
    <t>Owner-occupied records</t>
  </si>
  <si>
    <t>Unit 135B.</t>
  </si>
  <si>
    <t>Pending/draft records</t>
  </si>
  <si>
    <t>Magnolia Salon / Unit 121.</t>
  </si>
  <si>
    <t>Records needing user decision</t>
  </si>
  <si>
    <t>See DECISION_LOG_PRO.</t>
  </si>
  <si>
    <t>Combined lease groups split</t>
  </si>
  <si>
    <t>101-103, 115-117, 125-127, 139-141</t>
  </si>
  <si>
    <t>Unit-level allocated economics are based on SF share.</t>
  </si>
  <si>
    <t>Parking agreements captured</t>
  </si>
  <si>
    <t>See PARKING_AGREEMENTS.</t>
  </si>
  <si>
    <t>Stale sources ignored for current truth</t>
  </si>
  <si>
    <t>DoorLoop Try 2; Doorloop Try 3; tenant labels on plat image</t>
  </si>
  <si>
    <t>Kept as historical/reference only. Not used as current source of truth.</t>
  </si>
  <si>
    <t>CHANGE</t>
  </si>
  <si>
    <t>DETAIL</t>
  </si>
  <si>
    <t>Final unit-level master created</t>
  </si>
  <si>
    <t>Created SOURCE_OF_TRUTH_PRO with one row per physical unit from All Units.</t>
  </si>
  <si>
    <t>Combined units split</t>
  </si>
  <si>
    <t>Split 101-103, 115-117, 125-127, and 139-141 into separate physical unit rows while retaining LEASE_SUITE_GROUP.</t>
  </si>
  <si>
    <t>SF corrected</t>
  </si>
  <si>
    <t>Used All Units as SF authority. Total SF = 62,807.</t>
  </si>
  <si>
    <t>Economics added</t>
  </si>
  <si>
    <t>Added group-level Doorloop economics plus unit-level allocation formulas by SF share.</t>
  </si>
  <si>
    <t>Decision log added</t>
  </si>
  <si>
    <t>Added DECISION_LOG_PRO with selected value, alternate values, recommendation, and blank USER_FINAL_VALUE field.</t>
  </si>
  <si>
    <t>Lease group summary added</t>
  </si>
  <si>
    <t>Added LEASE_GROUPS_PRO for lease-level review separate from unit-level rows.</t>
  </si>
  <si>
    <t>Parking agreements preserved</t>
  </si>
  <si>
    <t>Added PARKING_AGREEMENTS for JD Bank and Our Saviors Church.</t>
  </si>
  <si>
    <t>Source hygiene</t>
  </si>
  <si>
    <t>Treated DoorLoop Try 2 and Doorloop Try 3 as stale/reference only.</t>
  </si>
  <si>
    <t>Plat handling</t>
  </si>
  <si>
    <t>Used simplified plat image for spacing/order reference only because tenant labels are stale compared with All Units and Doorloop Attempt.</t>
  </si>
  <si>
    <t>Broken formula cleanup</t>
  </si>
  <si>
    <t>Cleared 25 #VALUE! error cells from All Units LOGO column because they were not data and caused workbook calculation warnings.</t>
  </si>
  <si>
    <t>Critical unresolved items</t>
  </si>
  <si>
    <t>Unit 145 tenant/status, Magnolia draft lease, expired occupied leases, Jason's Deli economics/term, and several lease date/rent conflicts.</t>
  </si>
  <si>
    <t>PRIORITY</t>
  </si>
  <si>
    <t>UNIT</t>
  </si>
  <si>
    <t>LEASE_SUITE_GROUP</t>
  </si>
  <si>
    <t>FIELD_TO_CONFIRM</t>
  </si>
  <si>
    <t>CURRENT_SELECTED_VALUE</t>
  </si>
  <si>
    <t>ALTERNATE_VALUE(S)</t>
  </si>
  <si>
    <t>MY_RECOMMENDATION</t>
  </si>
  <si>
    <t>WHY</t>
  </si>
  <si>
    <t>USER_DECISION_NEEDED</t>
  </si>
  <si>
    <t>USER_FINAL_VALUE</t>
  </si>
  <si>
    <t>ACTION_TO_TAKE</t>
  </si>
  <si>
    <t>SOURCE_SHEETS</t>
  </si>
  <si>
    <t>P1</t>
  </si>
  <si>
    <t>105</t>
  </si>
  <si>
    <t>Occupied tenant has expired lease in source data.</t>
  </si>
  <si>
    <t>Painted Bayou; status=EXPIRED_REVIEW; selected term=2022-11-01 to 2026-03-31; Doorloop total=3231.1583333333333</t>
  </si>
  <si>
    <t>Lease start conflict: selected/Doorloop=2022-11-01 vs Adobe abstract=2019-12-01</t>
  </si>
  <si>
    <t>Confirm renewal/MTM/holdover status. Keep tenant name from All Units but do not treat lease dates as current without a signed amendment or Doorloop update.</t>
  </si>
  <si>
    <t>Selected lease end 2026-03-31 is before review date 2026-05-11.</t>
  </si>
  <si>
    <t>YES</t>
  </si>
  <si>
    <t/>
  </si>
  <si>
    <t>Verify signed lease/amendment, Doorloop billing, and occupancy. Update SOURCE_OF_TRUTH_PRO after confirmation.</t>
  </si>
  <si>
    <t>All Units; Doorloop Attempt; SOURCE_OF_TRUTH; Adobe Attempt</t>
  </si>
  <si>
    <t>109</t>
  </si>
  <si>
    <t>JC Kate Boutique; status=EXPIRED_REVIEW; selected term=2020-08-01 to 2025-09-30; Doorloop total=3808.3883333333333</t>
  </si>
  <si>
    <t>Lease end conflict: selected/Doorloop=2025-09-30 vs Adobe abstract=2025-07-31</t>
  </si>
  <si>
    <t>Selected lease end 2025-09-30 is before review date 2026-05-11.</t>
  </si>
  <si>
    <t>117 1/2</t>
  </si>
  <si>
    <t>Victoria Nails, LLC; status=EXPIRED_REVIEW; selected term=2017-03-01 to 2026-02-28; Doorloop total=2719.829166666667</t>
  </si>
  <si>
    <t>Selected lease end 2026-02-28 is before review date 2026-05-11.</t>
  </si>
  <si>
    <t>119</t>
  </si>
  <si>
    <t>Oupac; status=EXPIRED_REVIEW; selected term=2022-03-01 to 2026-02-28; Doorloop total=2890.4166666666665</t>
  </si>
  <si>
    <t>Lease start conflict: selected/Doorloop=2022-03-01 vs Adobe abstract=2023-03-01</t>
  </si>
  <si>
    <t>119 1/2</t>
  </si>
  <si>
    <t>Cat Clinic of Lafayette; status=EXPIRED_REVIEW; selected term=2019-10-07 to 2026-02-28; Doorloop total=3035.025</t>
  </si>
  <si>
    <t>121</t>
  </si>
  <si>
    <t>Magnolia lease appears draft/pending, not fully executed in source data.</t>
  </si>
  <si>
    <t>Magnolia Salon; status=PENDING_DRAFT; selected term=2025-07-31 to 2031-12-31; Doorloop total=2528.1</t>
  </si>
  <si>
    <t>Monthly rent conflict: selected Doorloop total=$2,528.10 vs Adobe stabilized=$2,741.52</t>
  </si>
  <si>
    <t>Keep Magnolia as pending until executed. Once signed, confirm start/end, rent schedule, deposit, and whether $2,528.10 or $2,741.52 is the correct monthly amount.</t>
  </si>
  <si>
    <t>Doorloop notes say DRAFT lease not yet executed; Adobe term says Draft.</t>
  </si>
  <si>
    <t>143</t>
  </si>
  <si>
    <t>1st Franklin Financial; status=EXPIRED_REVIEW; selected term=2015-09-01 to 2026-01-31; Doorloop total=3187.0175</t>
  </si>
  <si>
    <t>Lease start conflict: selected/Doorloop=2015-09-01 vs Adobe abstract=2021-02-01</t>
  </si>
  <si>
    <t>Selected lease end 2026-01-31 is before review date 2026-05-11.</t>
  </si>
  <si>
    <t>145</t>
  </si>
  <si>
    <t>Tenant/status conflict for Unit 145.</t>
  </si>
  <si>
    <t>Upstream Rehabilitation; status=REVIEW_REQUIRED; selected term= to ; Doorloop total=295.5375</t>
  </si>
  <si>
    <t>Unit 145 tenant/status conflict: All Units=Upstream Rehabilitation; SOURCE_OF_TRUTH/Adobe=VACANT; Doorloop=Upstream Partners with missing lease economics. | Tenant/status mismatch: SOURCE_OF_TRUTH=VACANT; Doorloop Tenant Company=Upstream Partners; Adobe Attempt=VACANT</t>
  </si>
  <si>
    <t>I would treat Unit 145 as Upstream Rehabilitation only if there is a signed lease or occupancy confirmation. Otherwise keep as VACANT/PROSPECT. Confirm legal entity, lease dates, rent, deposit.</t>
  </si>
  <si>
    <t>All Units says Upstream Rehabilitation, but older source-of-truth and Adobe mark 145 vacant. Doorloop has Upstream Partners but no current lease/rent dates.</t>
  </si>
  <si>
    <t>149</t>
  </si>
  <si>
    <t>Lease date conflict.</t>
  </si>
  <si>
    <t>Jason's Deli; status=ACTIVE; selected term=2000-06-30 to 2030-10-31; Doorloop total=7765.220833333334</t>
  </si>
  <si>
    <t>Lease start conflict: selected/Doorloop=2000-06-30 vs Adobe abstract=2023-01-01 | Lease end conflict: selected/Doorloop=2030-10-31 vs Adobe abstract=2032-12-31 | Monthly rent conflict: selected Doorloop total=$7,765.22 vs Adobe stabilized=$11,404.13</t>
  </si>
  <si>
    <t>Use Doorloop Attempt for current billing until lease file says otherwise. This is high priority: Jason's Deli has conflicting end dates and monthly rent values across sources.</t>
  </si>
  <si>
    <t>Selected current term dates/economics indicate active or current lease.</t>
  </si>
  <si>
    <t>P2</t>
  </si>
  <si>
    <t>101</t>
  </si>
  <si>
    <t>101-103</t>
  </si>
  <si>
    <t>The Pink Paisley; status=ACTIVE; selected term=2022-04-01 to 2027-02-28; Doorloop total=16008.903333333334</t>
  </si>
  <si>
    <t>Lease start conflict: selected/Doorloop=2022-04-01 vs Adobe abstract=2022-07-01 | Monthly rent conflict: selected Doorloop total=$16,008.90 vs Adobe stabilized=$17,494.37 | Combined lease split to physical unit line items. Economics are allocated by SF share for unit-level reporting only.</t>
  </si>
  <si>
    <t>Use All Units for split/SF and Doorloop Attempt for current billing. Verify Pink Paisley start date and the $16,008.90 vs $17,494.37 rent conflict against the signed lease/rent schedule.</t>
  </si>
  <si>
    <t>107</t>
  </si>
  <si>
    <t>Great American Cookies; status=ACTIVE; selected term=2022-04-01 to 2027-03-31; Doorloop total=2541.8849999999998</t>
  </si>
  <si>
    <t>Lease end conflict: selected/Doorloop=2027-03-31 vs Adobe abstract=2027-09-30 | Monthly rent conflict: selected Doorloop total=$2,541.88 vs Adobe stabilized=$1,561.43</t>
  </si>
  <si>
    <t>Use Doorloop current billing for now. Confirm whether lease expiration is 2027-03-31 or 2027-09-30.</t>
  </si>
  <si>
    <t>111</t>
  </si>
  <si>
    <t>Lola Pink Fabrics; status=ACTIVE; selected term=2024-01-01 to 2027-01-31; Doorloop total=2605.4166666666665</t>
  </si>
  <si>
    <t>Lease start conflict: selected/Doorloop=2024-01-01 vs Adobe abstract=2024-02-01</t>
  </si>
  <si>
    <t>Use Doorloop current billing. Confirm whether 2024-01-01 is the rent commencement and 2024-02-01 is the abstract lease start, then store both separately if true.</t>
  </si>
  <si>
    <t>115</t>
  </si>
  <si>
    <t>115-117</t>
  </si>
  <si>
    <t>Clothing Loft Exchange; status=ACTIVE; selected term=2023-08-01 to 2026-09-30; Doorloop total=6654.666666666666</t>
  </si>
  <si>
    <t>Lease start conflict: selected/Doorloop=2023-08-01 vs Adobe abstract=2025-07-31 | Lease end conflict: selected/Doorloop=2026-09-30 vs Adobe abstract=2030-07-31 | Monthly rent conflict: selected Doorloop total=$6,654.67 vs Adobe stabilized=$6,690.83 | Combined lease split to physical unit line items. Economics are allocated by SF share for unit-level reporting only.</t>
  </si>
  <si>
    <t>Use Doorloop for current billing. Verify whether the Adobe 2025-2030 renewal/extension is signed. If signed, update the selected lease end to 2030-07-31.</t>
  </si>
  <si>
    <t>125</t>
  </si>
  <si>
    <t>125-127</t>
  </si>
  <si>
    <t>Jordan Amanda; status=ACTIVE; selected term=2024-05-01 to 2028-04-30; Doorloop total=6587.541666666666</t>
  </si>
  <si>
    <t>Lease end conflict: selected/Doorloop=2028-04-30 vs Adobe abstract=2029-08-31 | Combined lease split to physical unit line items. Economics are allocated by SF share for unit-level reporting only.</t>
  </si>
  <si>
    <t>Use Doorloop billing. Confirm lease expiration because Adobe says 2029-08-31 while Doorloop says 2028-04-30.</t>
  </si>
  <si>
    <t>129</t>
  </si>
  <si>
    <t>HotWorx; status=ACTIVE; selected term=2024-03-18 to 2029-08-31; Doorloop total=2832.581666666667</t>
  </si>
  <si>
    <t>Lease start conflict: selected/Doorloop=2024-03-18 vs Adobe abstract=2024-03-01</t>
  </si>
  <si>
    <t>Use Doorloop current billing. Confirm whether 2024-03-18 is commencement/possession and 2024-03-01 is abstract start. This is minor unless billing depends on proration.</t>
  </si>
  <si>
    <t>131</t>
  </si>
  <si>
    <t>Confirm LOI status and whether space is still vacant.</t>
  </si>
  <si>
    <t>VACANT; status=VACANT; selected term= to ; Doorloop total=</t>
  </si>
  <si>
    <t>Keep VACANT. Doorloop says Furniture Store LOI in progress, which is not enough to populate tenant/economics. Update only after signed lease.</t>
  </si>
  <si>
    <t>All Units marks this unit vacant. Doorloop contains no current executed tenant economics.</t>
  </si>
  <si>
    <t>135A</t>
  </si>
  <si>
    <t>Rent/economic conflict.</t>
  </si>
  <si>
    <t>C. Wolf Barber Shop; status=ACTIVE; selected term=2024-11-01 to 2031-05-31; Doorloop total=2040.8333333333333</t>
  </si>
  <si>
    <t>Monthly rent conflict: selected Doorloop total=$2,040.83 vs Adobe stabilized=$2,304.17</t>
  </si>
  <si>
    <t>Use Doorloop current billing for now. Verify C. Wolf rent schedule because Adobe stabilized rent is higher than Doorloop total. Update billing if the lease schedule supports the Adobe amount.</t>
  </si>
  <si>
    <t>137</t>
  </si>
  <si>
    <t>Greek Expressions; status=ACTIVE; selected term=2025-10-01 to 2030-10-31; Doorloop total=3165.0416666666665</t>
  </si>
  <si>
    <t>Lease start conflict: selected/Doorloop=2025-10-01 vs Adobe abstract=2025-11-01 | Monthly rent conflict: selected Doorloop total=$3,165.04 vs Adobe stabilized=$3,062.55</t>
  </si>
  <si>
    <t>Use Doorloop current billing for now. Confirm whether Greek Expressions starts 2025-10-01 or 2025-11-01 and whether $3,165.04 or $3,062.55 is the correct monthly amount.</t>
  </si>
  <si>
    <t>139</t>
  </si>
  <si>
    <t>139-141</t>
  </si>
  <si>
    <t>Fast Pass Tag &amp; Title; status=ACTIVE; selected term=2023-07-01 to 2027-04-30; Doorloop total=5910.749999999999</t>
  </si>
  <si>
    <t>Lease end conflict: selected/Doorloop=2027-04-30 vs Adobe abstract=2026-07-31 | Combined lease split to physical unit line items. Economics are allocated by SF share for unit-level reporting only.</t>
  </si>
  <si>
    <t>Use Doorloop current billing. Confirm lease expiration because Adobe says 2026-07-31 while Doorloop says 2027-04-30.</t>
  </si>
  <si>
    <t>RECORD_TYPE</t>
  </si>
  <si>
    <t>UNIT_SORT</t>
  </si>
  <si>
    <t>TENANT_NAME_SELECTED</t>
  </si>
  <si>
    <t>TENANT_NAME_ALL_UNITS</t>
  </si>
  <si>
    <t>LEGAL_ENTITY</t>
  </si>
  <si>
    <t>DBA</t>
  </si>
  <si>
    <t>IS_SPLIT_FROM_COMBINED_LEASE</t>
  </si>
  <si>
    <t>LEASE_STATUS_SELECTED</t>
  </si>
  <si>
    <t>STATUS_BASIS</t>
  </si>
  <si>
    <t>DECISION_REASON</t>
  </si>
  <si>
    <t>DATA_CONFIDENCE</t>
  </si>
  <si>
    <t>UNIT_SF</t>
  </si>
  <si>
    <t>LEASE_GROUP_SF</t>
  </si>
  <si>
    <t>UNIT_ALLOCATION_PCT</t>
  </si>
  <si>
    <t>CURRENT_TERM_START_DATE</t>
  </si>
  <si>
    <t>CURRENT_TERM_END_DATE</t>
  </si>
  <si>
    <t>LEASE_TERM_SELECTED_SOURCE</t>
  </si>
  <si>
    <t>ADOBE_ABSTRACT_LEASE_TERM</t>
  </si>
  <si>
    <t>ADOBE_ABSTRACT_START_DATE</t>
  </si>
  <si>
    <t>ADOBE_ABSTRACT_END_DATE</t>
  </si>
  <si>
    <t>MONTHLY_BASE_RENT_GROUP</t>
  </si>
  <si>
    <t>CAM_GROUP</t>
  </si>
  <si>
    <t>TAX_GROUP</t>
  </si>
  <si>
    <t>INSURANCE_GROUP</t>
  </si>
  <si>
    <t>NNN_GROUP</t>
  </si>
  <si>
    <t>TOTAL_MONTHLY_RENT_GROUP</t>
  </si>
  <si>
    <t>BASE_RENT_PSF_SOURCE</t>
  </si>
  <si>
    <t>TOTAL_RENT_PSF_SOURCE</t>
  </si>
  <si>
    <t>CALC_BASE_RENT_PSF</t>
  </si>
  <si>
    <t>CALC_TOTAL_RENT_PSF</t>
  </si>
  <si>
    <t>ALLOC_BASE_RENT_UNIT</t>
  </si>
  <si>
    <t>ALLOC_CAM_UNIT</t>
  </si>
  <si>
    <t>ALLOC_TAX_UNIT</t>
  </si>
  <si>
    <t>ALLOC_INSURANCE_UNIT</t>
  </si>
  <si>
    <t>ALLOC_NNN_UNIT</t>
  </si>
  <si>
    <t>ALLOC_TOTAL_RENT_UNIT</t>
  </si>
  <si>
    <t>SECURITY_DEPOSIT_GROUP</t>
  </si>
  <si>
    <t>ADOBE_STABILIZED_MONTHLY_RENT</t>
  </si>
  <si>
    <t>USE_CLAUSE</t>
  </si>
  <si>
    <t>EXCLUSIVE_PROHIBITED_USES</t>
  </si>
  <si>
    <t>INSURANCE_CERTIFICATE</t>
  </si>
  <si>
    <t>LATE_FEES</t>
  </si>
  <si>
    <t>PAYMENT_METHOD</t>
  </si>
  <si>
    <t>HVAC_SPLIT</t>
  </si>
  <si>
    <t>MAINTENANCE_REPAIRS</t>
  </si>
  <si>
    <t>PRIMARY_CONTACT</t>
  </si>
  <si>
    <t>CONTACT_EMAIL</t>
  </si>
  <si>
    <t>CONTACT_PHONE</t>
  </si>
  <si>
    <t>BILLING_ADDRESS</t>
  </si>
  <si>
    <t>SOURCE_PRIORITY_USED</t>
  </si>
  <si>
    <t>SOURCE_CONFLICTS</t>
  </si>
  <si>
    <t>LAST_PRO_REVIEWED</t>
  </si>
  <si>
    <t>The Pink Paisley</t>
  </si>
  <si>
    <t>The Pink Paisley, LLC</t>
  </si>
  <si>
    <t>ACTIVE</t>
  </si>
  <si>
    <t>MEDIUM</t>
  </si>
  <si>
    <t>Doorloop Attempt</t>
  </si>
  <si>
    <t>7/1/2022 – 2/28/2027</t>
  </si>
  <si>
    <t>Retail boutique (clothing, gifts, accessories, home décor, monogram items, jewelry)</t>
  </si>
  <si>
    <t>Exclusive: no competing gift store. Prohibited: delicatessen / cat vet</t>
  </si>
  <si>
    <t>Lessee reimburses any insurance increase caused by use</t>
  </si>
  <si>
    <t>$100 + $25/day after 5th</t>
  </si>
  <si>
    <t>LESSOR ACH</t>
  </si>
  <si>
    <t>Tenant Pays Repair = $_____ Replace = $ ________</t>
  </si>
  <si>
    <t>Interior tenant responsibility; landlord roof/exterior/structure</t>
  </si>
  <si>
    <t>Amy Lemoine</t>
  </si>
  <si>
    <t>info@thepinkpaisley.net</t>
  </si>
  <si>
    <t>337-371-5444</t>
  </si>
  <si>
    <t>101-103 Arnould Boulevard</t>
  </si>
  <si>
    <t>All Units for unit/SF; Doorloop Attempt for current billing/contact; Adobe Attempt for lease clauses; SOURCE_OF_TRUTH for prior reconciliation notes.</t>
  </si>
  <si>
    <t>103</t>
  </si>
  <si>
    <t>Painted Bayou</t>
  </si>
  <si>
    <t>Painted Bayou, LLC</t>
  </si>
  <si>
    <t>NO</t>
  </si>
  <si>
    <t>EXPIRED_REVIEW</t>
  </si>
  <si>
    <t>LOW</t>
  </si>
  <si>
    <t>12/1/2019 – 3/31/2026</t>
  </si>
  <si>
    <t>Painting pottery / ceramics studio retail</t>
  </si>
  <si>
    <t>Prohibited: deli, cat vet, competing boutique gift retail</t>
  </si>
  <si>
    <t>$1M GL + additional insured</t>
  </si>
  <si>
    <t>$100 + $25/day</t>
  </si>
  <si>
    <t>101 Arnould Blvd / EFT</t>
  </si>
  <si>
    <t>Simone McCrocklin</t>
  </si>
  <si>
    <t>simone.mccrocklin@gmail.com</t>
  </si>
  <si>
    <t>337-255-7677</t>
  </si>
  <si>
    <t>105 Arnould Boulevard</t>
  </si>
  <si>
    <t>Great American Cookies</t>
  </si>
  <si>
    <t>Lafayette Cookies and Cream, LLC</t>
  </si>
  <si>
    <t>Great American</t>
  </si>
  <si>
    <t>4/1/2022 – 9/30/2027</t>
  </si>
  <si>
    <t>Cookies, cookie cakes, ice cream</t>
  </si>
  <si>
    <t>Exclusive: no tenant with &gt;20% dessert sales</t>
  </si>
  <si>
    <t>Lessee reimburses insurance increase</t>
  </si>
  <si>
    <t>PO Box 62230 or EFT</t>
  </si>
  <si>
    <t>Richard Pizitz Jr.</t>
  </si>
  <si>
    <t>richard@pizitzgroup.com</t>
  </si>
  <si>
    <t>205-790-7958</t>
  </si>
  <si>
    <t>107 Arnould Boulevard</t>
  </si>
  <si>
    <t>JC Kate Boutique</t>
  </si>
  <si>
    <t>J.C. Kate Boutique LLC</t>
  </si>
  <si>
    <t>JC Kate</t>
  </si>
  <si>
    <t>8/1/2020 – 7/31/2025</t>
  </si>
  <si>
    <t>Infant &amp; children's clothing boutique</t>
  </si>
  <si>
    <t>Prohibited: deli, cat vet</t>
  </si>
  <si>
    <t>Jeanne Guilbeau</t>
  </si>
  <si>
    <t>jckateboutique@gmail.com</t>
  </si>
  <si>
    <t>337-522-5026</t>
  </si>
  <si>
    <t>109 Arnould Boulevard</t>
  </si>
  <si>
    <t>Lola Pink Fabrics</t>
  </si>
  <si>
    <t>Lola Pink Fabrics, LLC</t>
  </si>
  <si>
    <t>Lola Pink</t>
  </si>
  <si>
    <t>2/1/2024 – 1/31/2027</t>
  </si>
  <si>
    <t>Fabric &amp; sewing retail</t>
  </si>
  <si>
    <t>Undeterminable</t>
  </si>
  <si>
    <t>Jennifer Herrick</t>
  </si>
  <si>
    <t>lolapinkjen@gmail.com</t>
  </si>
  <si>
    <t>337-280-7574</t>
  </si>
  <si>
    <t>111 Arnould Boulevard</t>
  </si>
  <si>
    <t>113</t>
  </si>
  <si>
    <t>Graze Acadiana</t>
  </si>
  <si>
    <t>Graze Acadiana, LLC</t>
  </si>
  <si>
    <t>No immediate correction needed beyond normal lease file review.</t>
  </si>
  <si>
    <t>HIGH</t>
  </si>
  <si>
    <t>Charcuterie</t>
  </si>
  <si>
    <t>true</t>
  </si>
  <si>
    <t>Tracey Lindenberg</t>
  </si>
  <si>
    <t>grazeacadiana@gmail.com</t>
  </si>
  <si>
    <t>337-501-0313</t>
  </si>
  <si>
    <t>113 Arnould Boulevard</t>
  </si>
  <si>
    <t>Clothing Loft Exchange</t>
  </si>
  <si>
    <t>The Clothing Loft Exchange, LLC</t>
  </si>
  <si>
    <t>The Clothing Loft</t>
  </si>
  <si>
    <t>7/31/2025 – 7/31/2030</t>
  </si>
  <si>
    <t>Retail resale clothing store</t>
  </si>
  <si>
    <t>LESSEE ACH</t>
  </si>
  <si>
    <t>Trent Jabbia</t>
  </si>
  <si>
    <t>trent@jabbia.com</t>
  </si>
  <si>
    <t>713-504-2081</t>
  </si>
  <si>
    <t>115-117 Arnould Boulevard</t>
  </si>
  <si>
    <t>117</t>
  </si>
  <si>
    <t>Victoria Nails, LLC</t>
  </si>
  <si>
    <t>Victoria Nails</t>
  </si>
  <si>
    <t>Nail salon</t>
  </si>
  <si>
    <t>Thuy T. Nguyen</t>
  </si>
  <si>
    <t>victorianails2015@yahoo.com</t>
  </si>
  <si>
    <t>(337) 412-6809</t>
  </si>
  <si>
    <t>117.5 Arnould Boulevard</t>
  </si>
  <si>
    <t>Oupac</t>
  </si>
  <si>
    <t>Daco Investments, LLC</t>
  </si>
  <si>
    <t>3/1/2023 – 2/28/2026</t>
  </si>
  <si>
    <t>Commercial retail</t>
  </si>
  <si>
    <t>$1M GL</t>
  </si>
  <si>
    <t>Tenant pays first $750 repair / $1,500 replacement</t>
  </si>
  <si>
    <t>David Link</t>
  </si>
  <si>
    <t>davidl@oupac.com</t>
  </si>
  <si>
    <t>337-945-4495</t>
  </si>
  <si>
    <t>119 Arnould Boulevard</t>
  </si>
  <si>
    <t>Cat Clinic of Lafayette</t>
  </si>
  <si>
    <t>Cat Clinic of Lafayette, L.L.C.</t>
  </si>
  <si>
    <t>Owner confirmed 3-year renewal to 2/28/2029.</t>
  </si>
  <si>
    <t>Resolved.</t>
  </si>
  <si>
    <t>10/7/2019 – 2/28/2026</t>
  </si>
  <si>
    <t>Veterinary clinic for cats</t>
  </si>
  <si>
    <t>Exclusive cat clinic</t>
  </si>
  <si>
    <t>Tenant pays $750 repair / $2,500 replacement</t>
  </si>
  <si>
    <t>Jasmine Champagne</t>
  </si>
  <si>
    <t>jasmine_champagne@outlook.com</t>
  </si>
  <si>
    <t>337-967-0565</t>
  </si>
  <si>
    <t>119.5 Arnould Boulevard</t>
  </si>
  <si>
    <t>Magnolia Salon</t>
  </si>
  <si>
    <t>Robertson Family Holdings, LLC</t>
  </si>
  <si>
    <t>PENDING_DRAFT</t>
  </si>
  <si>
    <t>Draft</t>
  </si>
  <si>
    <t>Hair salon</t>
  </si>
  <si>
    <t>Alicia Robertson</t>
  </si>
  <si>
    <t>alecialebouef@outlook.com</t>
  </si>
  <si>
    <t>337-962-1319</t>
  </si>
  <si>
    <t>121 Arnould Boulevard</t>
  </si>
  <si>
    <t>123</t>
  </si>
  <si>
    <t>The Tux Shoppe</t>
  </si>
  <si>
    <t>The Tux Shoppe, LLC</t>
  </si>
  <si>
    <t>5/1/2024 – 12/31/2029</t>
  </si>
  <si>
    <t>Tuxedo sales &amp; rentals</t>
  </si>
  <si>
    <t>Luke Benton</t>
  </si>
  <si>
    <t>lbenton1982.lb@gmail.com</t>
  </si>
  <si>
    <t>337-356-4567</t>
  </si>
  <si>
    <t>123 Arnould Boulevard</t>
  </si>
  <si>
    <t>Jordan Amanda</t>
  </si>
  <si>
    <t>Jordan Amanda, LLC</t>
  </si>
  <si>
    <t>5/1/2024 – 8/31/2029</t>
  </si>
  <si>
    <t>Retail boutique (home décor / gifts)</t>
  </si>
  <si>
    <t>PO Box 62230 / EFT</t>
  </si>
  <si>
    <t>Jordan Broussard</t>
  </si>
  <si>
    <t>shoetiqueshoes@yahoo.com</t>
  </si>
  <si>
    <t>337-278-8371</t>
  </si>
  <si>
    <t>125-127 Arnould Boulevard</t>
  </si>
  <si>
    <t>127</t>
  </si>
  <si>
    <t>HotWorx</t>
  </si>
  <si>
    <t>Lexi Investments 2, LLC</t>
  </si>
  <si>
    <t>3/1/2024 – 8/31/2029</t>
  </si>
  <si>
    <t>Infrared sauna fitness studio</t>
  </si>
  <si>
    <t>Alexis Richard</t>
  </si>
  <si>
    <t>alexis.richard@hotworx.net</t>
  </si>
  <si>
    <t>504-444-4986</t>
  </si>
  <si>
    <t>129 Arnould Boulevard</t>
  </si>
  <si>
    <t>VACANT</t>
  </si>
  <si>
    <t>No current lease term selected</t>
  </si>
  <si>
    <t>131 Arnould Boulevard</t>
  </si>
  <si>
    <t>133</t>
  </si>
  <si>
    <t>Vacant unit.</t>
  </si>
  <si>
    <t>Keep VACANT unless a signed lease exists.</t>
  </si>
  <si>
    <t>133 Arnould Boulevard</t>
  </si>
  <si>
    <t>C. Wolf Barber Shop</t>
  </si>
  <si>
    <t>C. Wolf Barber &amp; Shop LLC</t>
  </si>
  <si>
    <t>C Wolf Barber Shop</t>
  </si>
  <si>
    <t>11/1/2024 – 5/31/2031</t>
  </si>
  <si>
    <t>Barber shop</t>
  </si>
  <si>
    <t>Tenant pays $1,000 repair / $1,000 replacement</t>
  </si>
  <si>
    <t>Chris Sons</t>
  </si>
  <si>
    <t>c.wolfthebarber@gmail.com</t>
  </si>
  <si>
    <t>337-523-3341</t>
  </si>
  <si>
    <t>135A Arnould Boulevard</t>
  </si>
  <si>
    <t>135B</t>
  </si>
  <si>
    <t>Belle Realty of Lafayette</t>
  </si>
  <si>
    <t>Belle Realty Property Management</t>
  </si>
  <si>
    <t>OWNER_OCCUPIED</t>
  </si>
  <si>
    <t>Owner confirmed owner-occupied management office.</t>
  </si>
  <si>
    <t>No tenant billing unless internal chargeback is desired.</t>
  </si>
  <si>
    <t>Adam Abdalla</t>
  </si>
  <si>
    <t>adam@belle-realty.com</t>
  </si>
  <si>
    <t>337-288-5411</t>
  </si>
  <si>
    <t>135B Arnould Boulevard</t>
  </si>
  <si>
    <t>Greek Expressions</t>
  </si>
  <si>
    <t>Parish Lettering, LLC</t>
  </si>
  <si>
    <t>11/1/2025 – 10/31/2030</t>
  </si>
  <si>
    <t>Apparel / embroidery / monogram shop</t>
  </si>
  <si>
    <t>Nicole Trahan</t>
  </si>
  <si>
    <t>admin@shopgreekexpressions.com</t>
  </si>
  <si>
    <t>337-344-2850</t>
  </si>
  <si>
    <t>137 Arnould Boulevard</t>
  </si>
  <si>
    <t>Fast Pass Tag &amp; Title</t>
  </si>
  <si>
    <t>Fastpass Tag &amp; Title, LLC</t>
  </si>
  <si>
    <t>7/1/2023 – 7/31/2026</t>
  </si>
  <si>
    <t>Motor vehicle registration office</t>
  </si>
  <si>
    <t>Katherine Trahan</t>
  </si>
  <si>
    <t>ktrahan@alliancesafetycouncil.org</t>
  </si>
  <si>
    <t>225-282-3300</t>
  </si>
  <si>
    <t>139/141 Arnould Boulevard</t>
  </si>
  <si>
    <t>141</t>
  </si>
  <si>
    <t>1st Franklin Financial</t>
  </si>
  <si>
    <t>1st Franklin Financial Corporation</t>
  </si>
  <si>
    <t>2/1/2021 – 1/31/2026</t>
  </si>
  <si>
    <t>Financial services office</t>
  </si>
  <si>
    <t>srb3492@1ffc.com</t>
  </si>
  <si>
    <t>(337) 988-9979</t>
  </si>
  <si>
    <t>143 Arnould Boulevard</t>
  </si>
  <si>
    <t>Upstream Rehabilitation</t>
  </si>
  <si>
    <t>Upstream Partners</t>
  </si>
  <si>
    <t>Owner confirmed signed lease and $19.95/SF.</t>
  </si>
  <si>
    <t>Resolved. Base PSF inferred to $14.95 if components unchanged.</t>
  </si>
  <si>
    <t>tmottley@mackenziecommercial.com</t>
  </si>
  <si>
    <t>410-821-8585</t>
  </si>
  <si>
    <t>145 Arnould Boulevard</t>
  </si>
  <si>
    <t>Jason's Deli</t>
  </si>
  <si>
    <t>Deli Management, Inc.</t>
  </si>
  <si>
    <t>Jasons Deli</t>
  </si>
  <si>
    <t>1/1/2023 – 12/31/2032</t>
  </si>
  <si>
    <t>Deli restaurant</t>
  </si>
  <si>
    <t>Restaurant exclusive Delecantasant</t>
  </si>
  <si>
    <t>James Mclaughlin</t>
  </si>
  <si>
    <t>info@jasonsdeli.com</t>
  </si>
  <si>
    <t>(337) 216-0194</t>
  </si>
  <si>
    <t>149 Arnould Boulevard</t>
  </si>
  <si>
    <t>UNITS_INCLUDED</t>
  </si>
  <si>
    <t>GROUP_SF</t>
  </si>
  <si>
    <t>101, 103</t>
  </si>
  <si>
    <t>115, 117</t>
  </si>
  <si>
    <t>125, 127</t>
  </si>
  <si>
    <t>Keep as owner-occupied / management office. Do not treat as tenant lease unless you charge rent internally.</t>
  </si>
  <si>
    <t>139, 141</t>
  </si>
  <si>
    <t>REVIEW_REQUIRED</t>
  </si>
  <si>
    <t>TENANT_SELECTED</t>
  </si>
  <si>
    <t>SF</t>
  </si>
  <si>
    <t>SOURCE</t>
  </si>
  <si>
    <t>All Units sheet, cleaned</t>
  </si>
  <si>
    <t>All Units sheet, cleaned; +3 SF owner correction applied to Unit 103</t>
  </si>
  <si>
    <t>AGREEMENT_TYPE</t>
  </si>
  <si>
    <t>PARTY</t>
  </si>
  <si>
    <t>NOTES</t>
  </si>
  <si>
    <t>USER_CONFIRMED_STATUS</t>
  </si>
  <si>
    <t>Parking Agreement</t>
  </si>
  <si>
    <t>JD Bank</t>
  </si>
  <si>
    <t>Listed on All Units sheet</t>
  </si>
  <si>
    <t>All Units</t>
  </si>
  <si>
    <t>Our Saviors Church</t>
  </si>
  <si>
    <t>PROPERTY</t>
  </si>
  <si>
    <t>BUILDING</t>
  </si>
  <si>
    <t>SUITE</t>
  </si>
  <si>
    <t>TENANT_NAME</t>
  </si>
  <si>
    <t>LEASE_STATUS</t>
  </si>
  <si>
    <t>STATUS_INFERRED</t>
  </si>
  <si>
    <t>LEASE_START_DATE</t>
  </si>
  <si>
    <t>LEASE_END_DATE</t>
  </si>
  <si>
    <t>RENT_COMMENCEMENT_DATE</t>
  </si>
  <si>
    <t>OPTION_PERIODS</t>
  </si>
  <si>
    <t>MONTHLY_BASE_RENT</t>
  </si>
  <si>
    <t>CAM_CHARGES</t>
  </si>
  <si>
    <t>TAX_CHARGES</t>
  </si>
  <si>
    <t>INSURANCE_CHARGES</t>
  </si>
  <si>
    <t>NNN_CHARGES</t>
  </si>
  <si>
    <t>TOTAL_MONTHLY_RENT</t>
  </si>
  <si>
    <t>PERCENTAGE_RENT</t>
  </si>
  <si>
    <t>SECURITY_DEPOSIT</t>
  </si>
  <si>
    <t>RENT_PER_SF</t>
  </si>
  <si>
    <t>TOTAL_PER_SF</t>
  </si>
  <si>
    <t>GUARANTOR</t>
  </si>
  <si>
    <t>INSURANCE_EXPIRATION</t>
  </si>
  <si>
    <t>DELINQUENT_BALANCE</t>
  </si>
  <si>
    <t>LAST_PAYMENT_DATE</t>
  </si>
  <si>
    <t>BROKER</t>
  </si>
  <si>
    <t>LAST_VERIFIED</t>
  </si>
  <si>
    <t>On The Boulevard Shopping Center</t>
  </si>
  <si>
    <t>The Pink Paisley LLC</t>
  </si>
  <si>
    <t>2022-04-01</t>
  </si>
  <si>
    <t>2027-02-28</t>
  </si>
  <si>
    <t>Tenant Pays
Repair = $_____ 
Replace = $ ________</t>
  </si>
  <si>
    <t>Trade Name: The Pink Paisley Exclusive/prohibited uses captured. Lease start conflict: abstract=2022-07-01 vs properties=2022-04-01. Monthly rent conflict: abstract stabilized=17494.37 vs properties total=16008.9. Doorloop onboard rent differs from selected value: doorloop=3750.0.</t>
  </si>
  <si>
    <t>Conflicting source values</t>
  </si>
  <si>
    <t>3 - Properties (2); DOORLOOP ONBOARD (2); Sheet1; Sheet1 (2)</t>
  </si>
  <si>
    <t>2026-05-10</t>
  </si>
  <si>
    <t>EXPIRED</t>
  </si>
  <si>
    <t>2022-11-01</t>
  </si>
  <si>
    <t>2026-03-31</t>
  </si>
  <si>
    <t>Trade name: Painted Bayou Exclusive/prohibited uses captured. Lease start conflict: abstract=2019-12-01 vs properties=2022-11-01. Doorloop onboard rent differs from selected value: doorloop=1875.0.</t>
  </si>
  <si>
    <t>Conflicting source values; Lease status needs review: EXPIRED</t>
  </si>
  <si>
    <t>2027-03-31</t>
  </si>
  <si>
    <t>N/A</t>
  </si>
  <si>
    <t>Trade name: Great American; d/b/a Great American Cookie / Hershey Ice Cream Exclusive/prohibited uses captured. Lease end conflict: abstract=2027-09-30 vs properties=2027-03-31. Monthly rent conflict: abstract stabilized=1561.43 vs properties total=2541.88.</t>
  </si>
  <si>
    <t>3 - Properties (2); Sheet1; Sheet1 (2)</t>
  </si>
  <si>
    <t>2020-08-01</t>
  </si>
  <si>
    <t>2025-09-30</t>
  </si>
  <si>
    <t>Trade name: JC Kate Exclusive/prohibited uses captured. Lease end conflict: abstract=2025-07-31 vs properties=2025-09-30.</t>
  </si>
  <si>
    <t>2024-01-01</t>
  </si>
  <si>
    <t>2027-01-31</t>
  </si>
  <si>
    <t>Trade name: Lola Pink; d/b/a Bernina Lafayette; members: Jennifer Herrick &amp; Janet Thomas Exclusive/prohibited uses captured. Lease start conflict: abstract=2024-02-01 vs properties=2024-01-01.</t>
  </si>
  <si>
    <t>2021-01-01</t>
  </si>
  <si>
    <t>2027-06-30</t>
  </si>
  <si>
    <t>Trade name: Graze Acadiana</t>
  </si>
  <si>
    <t>2023-08-01</t>
  </si>
  <si>
    <t>2026-09-30</t>
  </si>
  <si>
    <t>Trade name: The Clothing Loft Exclusive/prohibited uses captured. Lease start conflict: abstract=2025-07-31 vs properties=2023-08-01. Lease end conflict: abstract=2030-07-31 vs properties=2026-09-30. Monthly rent conflict: abstract stabilized=6690.83 vs properties total=6654.67.</t>
  </si>
  <si>
    <t>117.5</t>
  </si>
  <si>
    <t>Exclusive/prohibited uses captured.</t>
  </si>
  <si>
    <t>Lease status needs review: REVIEW_REQUIRED; Missing lease start; Missing lease end; Missing base rent</t>
  </si>
  <si>
    <t>Sheet1; Sheet1 (2)</t>
  </si>
  <si>
    <t>2022-03-01</t>
  </si>
  <si>
    <t>2026-02-28</t>
  </si>
  <si>
    <t>Trade name: Oupac; Rep. David Link Exclusive/prohibited uses captured. Lease start conflict: abstract=2023-03-01 vs properties=2022-03-01. Doorloop onboard rent differs from selected value: doorloop=1875.0.</t>
  </si>
  <si>
    <t>119.5</t>
  </si>
  <si>
    <t>2019-10-07</t>
  </si>
  <si>
    <t>Lease status needs review: EXPIRED; Missing base rent</t>
  </si>
  <si>
    <t>PENDING</t>
  </si>
  <si>
    <t>2025-07-31</t>
  </si>
  <si>
    <t>2031-12-31</t>
  </si>
  <si>
    <t>Trade name: Magnolia Salon; DRAFT lease not yet executed; rep. Alicia L. Robertson Exclusive/prohibited uses captured. Monthly rent conflict: abstract stabilized=2741.52 vs properties total=2528.1. Doorloop onboard rent differs from selected value: doorloop=2187.5.</t>
  </si>
  <si>
    <t>Conflicting source values; Lease status needs review: PENDING</t>
  </si>
  <si>
    <t>Tux Shoppe</t>
  </si>
  <si>
    <t>2024-05-01</t>
  </si>
  <si>
    <t>2029-12-31</t>
  </si>
  <si>
    <t>Trade name: The Tux Shoppe; Mgr: Luke Benton &amp; Kirk Boudreaux Exclusive/prohibited uses captured. Doorloop onboard rent differs from selected value: doorloop=2125.0.</t>
  </si>
  <si>
    <t>2028-04-30</t>
  </si>
  <si>
    <t>Trade name: Jordan Amanda; Rep. Jordan A. Broussard; 125 Arnould (1735 sf) + 127 Arnould (2538 sf) Exclusive/prohibited uses captured. Lease end conflict: abstract=2029-08-31 vs properties=2028-04-30.</t>
  </si>
  <si>
    <t>Hotworx</t>
  </si>
  <si>
    <t>2024-03-18</t>
  </si>
  <si>
    <t>2029-08-31</t>
  </si>
  <si>
    <t>Trade name: HotWorx; d/b/a HotWorx; rep. Alexis Richard &amp; Dennis Richard Exclusive/prohibited uses captured. Lease start conflict: abstract=2024-03-01 vs properties=2024-03-18.</t>
  </si>
  <si>
    <t>131-133</t>
  </si>
  <si>
    <t>Vacancy combines units 131 and 133. Properties sheet lists 131=1907 SF and 133=1272 SF.</t>
  </si>
  <si>
    <t>Vacant unit</t>
  </si>
  <si>
    <t>2024-11-01</t>
  </si>
  <si>
    <t>2031-05-31</t>
  </si>
  <si>
    <t>Trade name: C Wolf Barber Shop Exclusive/prohibited uses captured. Monthly rent conflict: abstract stabilized=2304.17 vs properties total=2040.83.</t>
  </si>
  <si>
    <t>Belle Realty</t>
  </si>
  <si>
    <t>Owner-occupied — management office</t>
  </si>
  <si>
    <t>Missing lease start; Missing lease end; Missing base rent</t>
  </si>
  <si>
    <t>2025-10-01</t>
  </si>
  <si>
    <t>2030-10-31</t>
  </si>
  <si>
    <t>Trade name: Greek Expressions; d/b/a Greek Expressions; rep. Nicole Trahan Exclusive/prohibited uses captured. Lease start conflict: abstract=2025-11-01 vs properties=2025-10-01. Monthly rent conflict: abstract stabilized=3062.55 vs properties total=3165.04.</t>
  </si>
  <si>
    <t>2023-07-01</t>
  </si>
  <si>
    <t>2027-04-30</t>
  </si>
  <si>
    <t>Trade name: Fast Pass Tag &amp; Title; Subsidiary of Alliance Safety Council; rep. Katherine B. Trahan Exclusive/prohibited uses captured. Lease end conflict: abstract=2026-07-31 vs properties=2027-04-30.</t>
  </si>
  <si>
    <t>2015-09-01</t>
  </si>
  <si>
    <t>2026-01-31</t>
  </si>
  <si>
    <t>Trade name: 1st Franklin Financial; 135 E. Tugalo St, Toccoa GA 30577 Exclusive/prohibited uses captured. Lease start conflict: abstract=2021-02-01 vs properties=2015-09-01.</t>
  </si>
  <si>
    <t>2017-09-01</t>
  </si>
  <si>
    <t>2022-08-31</t>
  </si>
  <si>
    <t>Previously Blvd Nutrition Doorloop onboard rent differs from selected value: doorloop=1875.0.</t>
  </si>
  <si>
    <t>2000-06-30</t>
  </si>
  <si>
    <t>Trade name: Jasons Deli; Anchor tenant since 2000; 2400 Broadway, Beaumont TX 77702 Exclusive/prohibited uses captured. Lease start conflict: abstract=2023-01-01 vs properties=2000-06-30. Lease end conflict: abstract=2032-12-31 vs properties=2030-10-31. Monthly rent conflict: abstract stabilized=11404.13 vs properties total=7765.22. Doorloop onboard rent differs from selected value: doorloop=8553.27.</t>
  </si>
  <si>
    <t>117 .5</t>
  </si>
  <si>
    <t>2017-03-01</t>
  </si>
  <si>
    <t>Trade name: Victoria Nails; Individual tenant; current renewal 3/1/2023</t>
  </si>
  <si>
    <t>Lease status needs review: EXPIRED</t>
  </si>
  <si>
    <t>3 - Properties (2)</t>
  </si>
  <si>
    <t>119 .5</t>
  </si>
  <si>
    <t>Trade name: Cat Clinic of Lafayette; Current term: 3/1/2023-2/28/2026 (Third Addendum)</t>
  </si>
  <si>
    <t>Workbook analyzed</t>
  </si>
  <si>
    <t>ALL TENANT RESULTS.xlsx</t>
  </si>
  <si>
    <t>Date prepared</t>
  </si>
  <si>
    <t>Sheets inspected</t>
  </si>
  <si>
    <t>Sheet1, 3 - Properties (2), DOORLOOP ONBOARD (2), Sheet1 (2), Properties</t>
  </si>
  <si>
    <t>Final source-of-truth rows</t>
  </si>
  <si>
    <t>Primary source used</t>
  </si>
  <si>
    <t>3 - Properties (2) for rent/SF/lease economics, Sheet1 for tenant names/use clauses/operational terms.</t>
  </si>
  <si>
    <t>Duplicate/stale sheets detected</t>
  </si>
  <si>
    <t>Sheet1 and Sheet1 (2) appear duplicative. DOORLOOP ONBOARD (2) appears older/stale for several units. Properties sheet contains OCR/import artifacts and was treated as lower confidence.</t>
  </si>
  <si>
    <t>Conflicting rent values detected</t>
  </si>
  <si>
    <t>Known combined units</t>
  </si>
  <si>
    <t>101-103, 115-117, 125-127, 131-133, 139-141. Unit 117.5 and 119.5 standardized from half-unit notation.</t>
  </si>
  <si>
    <t>High-risk review items</t>
  </si>
  <si>
    <t>Expired or near-expired lease dates, vacant units, draft Magnolia Salon lease, rent/SF conflicts, Doorloop stale values.</t>
  </si>
  <si>
    <t>Manual review priority</t>
  </si>
  <si>
    <t>1) Verify current tenants for 131-133 and 145. 2) Confirm expired leases as of 2026-05-10. 3) Resolve stabilized rent vs Properties total rent. 4) Confirm C. Wolf / Unit 135A SF and Unit 135B owner-occupied status.</t>
  </si>
  <si>
    <t>Overall data quality</t>
  </si>
  <si>
    <t>Medium. Good unit coverage and economics, but multiple imports conflict and some old onboarding data does not match current lease abstraction.</t>
  </si>
  <si>
    <t>Sheet</t>
  </si>
  <si>
    <t>Rows</t>
  </si>
  <si>
    <t>Columns</t>
  </si>
  <si>
    <t>Assessment</t>
  </si>
  <si>
    <t>Sheet1</t>
  </si>
  <si>
    <t>Lease abstract / operating terms. Duplicated by Sheet1 (2).</t>
  </si>
  <si>
    <t>Most useful structured source for unit economics and current tenant legal entities.</t>
  </si>
  <si>
    <t>DOORLOOP ONBOARD (2)</t>
  </si>
  <si>
    <t>Older onboarding import. Useful for historical trace only. Several rent/SF values conflict.</t>
  </si>
  <si>
    <t>Sheet1 (2)</t>
  </si>
  <si>
    <t>Duplicate of Sheet1.</t>
  </si>
  <si>
    <t>Properties</t>
  </si>
  <si>
    <t>Messy import/OCR-style sheet. Lower confidence.</t>
  </si>
  <si>
    <t>Unit</t>
  </si>
  <si>
    <t>Tenant</t>
  </si>
  <si>
    <t>Use Clause</t>
  </si>
  <si>
    <t>Exclusive / Prohibited 
Uses</t>
  </si>
  <si>
    <t>Lease 
Term</t>
  </si>
  <si>
    <t>Stabilized Monthly Rent</t>
  </si>
  <si>
    <t>HVAC Split</t>
  </si>
  <si>
    <t>Insurance 
Certificate</t>
  </si>
  <si>
    <t>Late
Fees</t>
  </si>
  <si>
    <t>Payment 
Method</t>
  </si>
  <si>
    <t>Maintenance 
&amp; Repairs</t>
  </si>
  <si>
    <t>Security Deposit</t>
  </si>
  <si>
    <t xml:space="preserve">Restaurant exclusive Delecantasant </t>
  </si>
  <si>
    <t>Unit Name</t>
  </si>
  <si>
    <t>Property Name</t>
  </si>
  <si>
    <t>Commercial Property Type
(Select from the dropdown)</t>
  </si>
  <si>
    <t>Property Street Address</t>
  </si>
  <si>
    <t>City</t>
  </si>
  <si>
    <t>State</t>
  </si>
  <si>
    <t>Zipcode</t>
  </si>
  <si>
    <t>Country</t>
  </si>
  <si>
    <t>Sq Feet
(Optional)</t>
  </si>
  <si>
    <t>Market Rent
(Optional)</t>
  </si>
  <si>
    <t>Lease Start Date</t>
  </si>
  <si>
    <t>Lease End Date</t>
  </si>
  <si>
    <t>Rent Is Paid</t>
  </si>
  <si>
    <t>Base Rent Amount</t>
  </si>
  <si>
    <t xml:space="preserve">CAM 
Charges
</t>
  </si>
  <si>
    <t xml:space="preserve">Tax Charge
</t>
  </si>
  <si>
    <t xml:space="preserve">Insurance
</t>
  </si>
  <si>
    <t>Total Monthly Rent Charge</t>
  </si>
  <si>
    <t>BASE PSF</t>
  </si>
  <si>
    <t>CAM PSF</t>
  </si>
  <si>
    <t>TAX PSF</t>
  </si>
  <si>
    <t>INS PSF</t>
  </si>
  <si>
    <t>TOTAL PSF</t>
  </si>
  <si>
    <t>TOTAL PER MONTH</t>
  </si>
  <si>
    <t>Security Deposit Amount</t>
  </si>
  <si>
    <t>Tenant 1 
First Name</t>
  </si>
  <si>
    <t>Tenant 1 Last Name</t>
  </si>
  <si>
    <t>Tenant 1 Email 
(Required)</t>
  </si>
  <si>
    <t xml:space="preserve">Tenant 1 Phone Number
(Required) </t>
  </si>
  <si>
    <t>Tenant 1 Company
(Optional)</t>
  </si>
  <si>
    <t>Tenant 1 Notes
(Optional)</t>
  </si>
  <si>
    <t>Tenant 2 First Name
(Optional)</t>
  </si>
  <si>
    <t>Tenant 2 Last Name
(Optional)</t>
  </si>
  <si>
    <t>Tenant 2 Email
(Optional)</t>
  </si>
  <si>
    <t>Tenant 2 Phone
(Optional)</t>
  </si>
  <si>
    <t>Tenant 2 Company
(Optional)</t>
  </si>
  <si>
    <t>Tenant 2 Notes
(Optional)</t>
  </si>
  <si>
    <t>Owner 1 First Name
(Optional)</t>
  </si>
  <si>
    <t>Owner 1 Last Name
(Optional)</t>
  </si>
  <si>
    <t>Owner 1 Company Name
(Optional)</t>
  </si>
  <si>
    <t>Owner 1 Percentage
(Required)</t>
  </si>
  <si>
    <t>Owner 1 Email 
(Required)</t>
  </si>
  <si>
    <t>Owner 1 Phone Number 
(Required)</t>
  </si>
  <si>
    <t>Owner 1 Street Address
(Optional)</t>
  </si>
  <si>
    <t>Owner 1 City
(Optional)</t>
  </si>
  <si>
    <t>Owner 1 Zipcode
(Optional)</t>
  </si>
  <si>
    <t>Owner 1 State
(Optional)</t>
  </si>
  <si>
    <t>Owner 1 Country
(Optional)</t>
  </si>
  <si>
    <t>Owner 1 Notes
(Optional)</t>
  </si>
  <si>
    <t>Owner 2 First Name
(Optional)</t>
  </si>
  <si>
    <t>Owner 2 Last Name
(Optional)</t>
  </si>
  <si>
    <t>Owner 2 Company Name
(Optional)</t>
  </si>
  <si>
    <t>Owner 2 Email
(Optional)</t>
  </si>
  <si>
    <t>Owner 2 Phone Number
(Optional)</t>
  </si>
  <si>
    <t>Owner 2 Percentage
(Optional)</t>
  </si>
  <si>
    <t>Owner 2 Email 
(Optional)</t>
  </si>
  <si>
    <t>Owner 2 Phone Number 
(Optional)</t>
  </si>
  <si>
    <t>Owner 2 Zipcode
(Optional)</t>
  </si>
  <si>
    <t>Owner 2 State
(Optional)</t>
  </si>
  <si>
    <t>Owner 2 Country
(Optional)</t>
  </si>
  <si>
    <t>Owner 2 Notes
(Optional)</t>
  </si>
  <si>
    <t>Charge Late Fees?</t>
  </si>
  <si>
    <t>COMMERCIAL_SHOPPING_CENTER</t>
  </si>
  <si>
    <t>Lafayette</t>
  </si>
  <si>
    <t>LA</t>
  </si>
  <si>
    <t>USA</t>
  </si>
  <si>
    <t>Monthly</t>
  </si>
  <si>
    <t>Amy</t>
  </si>
  <si>
    <t>Lemoine</t>
  </si>
  <si>
    <t>Trade Name: The Pink Paisley</t>
  </si>
  <si>
    <t>Simone</t>
  </si>
  <si>
    <t>McCrocklin</t>
  </si>
  <si>
    <t>Simone.McCrocklin@gmail.com</t>
  </si>
  <si>
    <t>Trade name: Painted Bayou</t>
  </si>
  <si>
    <t>Richard</t>
  </si>
  <si>
    <t>Pizitz Jr.</t>
  </si>
  <si>
    <t>Trade name: Great American; d/b/a Great American Cookie / Hershey Ice Cream</t>
  </si>
  <si>
    <t>Jeanne</t>
  </si>
  <si>
    <t>Guilbeau</t>
  </si>
  <si>
    <t>Trade name: JC Kate</t>
  </si>
  <si>
    <t>Jennifer</t>
  </si>
  <si>
    <t>Herrick</t>
  </si>
  <si>
    <t>Trade name: Lola Pink; d/b/a Bernina Lafayette; members: Jennifer Herrick &amp; Janet Thomas</t>
  </si>
  <si>
    <t>Tracey</t>
  </si>
  <si>
    <t>Lindenberg</t>
  </si>
  <si>
    <t>Trent</t>
  </si>
  <si>
    <t>Jabbia</t>
  </si>
  <si>
    <t>Trade name: The Clothing Loft</t>
  </si>
  <si>
    <t>Thuy</t>
  </si>
  <si>
    <t>T. Nguyen</t>
  </si>
  <si>
    <t xml:space="preserve">victorianails2015@yahoo.com </t>
  </si>
  <si>
    <t>David</t>
  </si>
  <si>
    <t>Link</t>
  </si>
  <si>
    <t>DavidL@oupac.com</t>
  </si>
  <si>
    <t>Trade name: Oupac; Rep. David Link</t>
  </si>
  <si>
    <t>Jasmine</t>
  </si>
  <si>
    <t>Champagne</t>
  </si>
  <si>
    <t>12/31/2031</t>
  </si>
  <si>
    <t>Alicia</t>
  </si>
  <si>
    <t>Robertson</t>
  </si>
  <si>
    <t>Trade name: Magnolia Salon; DRAFT lease not yet executed; rep. Alicia L. Robertson</t>
  </si>
  <si>
    <t>Luke</t>
  </si>
  <si>
    <t>Benton</t>
  </si>
  <si>
    <t>Trade name: The Tux Shoppe; Mgr: Luke Benton &amp; Kirk Boudreaux</t>
  </si>
  <si>
    <t>Jordan</t>
  </si>
  <si>
    <t>Broussard</t>
  </si>
  <si>
    <t>Trade name: Jordan Amanda; Rep. Jordan A. Broussard; 125 Arnould (1735 sf) + 127 Arnould (2538 sf)</t>
  </si>
  <si>
    <t>Alexis</t>
  </si>
  <si>
    <t>Trade name: HotWorx; d/b/a HotWorx; rep. Alexis Richard &amp; Dennis Richard</t>
  </si>
  <si>
    <t>Furniture Store LOI in progress</t>
  </si>
  <si>
    <t>Chris</t>
  </si>
  <si>
    <t>Sons</t>
  </si>
  <si>
    <t>Trade name: C Wolf Barber Shop</t>
  </si>
  <si>
    <t>Adam</t>
  </si>
  <si>
    <t>Abdalla</t>
  </si>
  <si>
    <t>Nicole</t>
  </si>
  <si>
    <t>Trahan</t>
  </si>
  <si>
    <t>Trade name: Greek Expressions; d/b/a Greek Expressions; rep. Nicole Trahan</t>
  </si>
  <si>
    <t>139/141</t>
  </si>
  <si>
    <t>Katherine</t>
  </si>
  <si>
    <t>Trade name: Fast Pass Tag &amp; Title; Subsidiary of Alliance Safety Council; rep. Katherine B. Trahan</t>
  </si>
  <si>
    <t>SRB3492@1ffc.com</t>
  </si>
  <si>
    <t>Trade name: 1st Franklin Financial; 135 E. Tugalo St, Toccoa GA 30577</t>
  </si>
  <si>
    <t>TMottley@mackenziecommercial.com</t>
  </si>
  <si>
    <t>410-821-8585 </t>
  </si>
  <si>
    <t>Previously Blvd Nutrition</t>
  </si>
  <si>
    <t>James</t>
  </si>
  <si>
    <t>Mclaughlin</t>
  </si>
  <si>
    <t xml:space="preserve">info@jasonsdeli.com </t>
  </si>
  <si>
    <t>Trade name: Jasons Deli; Anchor tenant since 2000; 2400 Broadway, Beaumont TX 77702</t>
  </si>
  <si>
    <t>Commercial Property Type</t>
  </si>
  <si>
    <t>Bedrooms</t>
  </si>
  <si>
    <t>Bathrooms</t>
  </si>
  <si>
    <t>Sq Feet</t>
  </si>
  <si>
    <t>Market Rent</t>
  </si>
  <si>
    <t>Rent Amount</t>
  </si>
  <si>
    <t>Other Recurring Charge 1 Name</t>
  </si>
  <si>
    <t>Other Recurring Charge 1 Amount</t>
  </si>
  <si>
    <t>Other Recurring Charge 2 Name</t>
  </si>
  <si>
    <t>Other Recurring Charge 2 Amount</t>
  </si>
  <si>
    <t>Other One-Time Charge Name</t>
  </si>
  <si>
    <t>Other One-Time Charge Amount</t>
  </si>
  <si>
    <t>Tenant 1 First Name</t>
  </si>
  <si>
    <t>Tenant 1 Email</t>
  </si>
  <si>
    <t>Tenant 1 Phone Number</t>
  </si>
  <si>
    <t>Tenant 1 Company</t>
  </si>
  <si>
    <t>Tenant 1 Notes</t>
  </si>
  <si>
    <t>Tenant 2 First Name</t>
  </si>
  <si>
    <t>Tenant 2 Last Name</t>
  </si>
  <si>
    <t>Tenant 2 Email</t>
  </si>
  <si>
    <t>Tenant 2 Phone</t>
  </si>
  <si>
    <t>Tenant 2 Company</t>
  </si>
  <si>
    <t>Tenant 2 Notes</t>
  </si>
  <si>
    <t>Owner 1 First Name</t>
  </si>
  <si>
    <t>Owner 1 Last Name</t>
  </si>
  <si>
    <t>Owner 1 Company Name</t>
  </si>
  <si>
    <t>Owner 1 Percentage</t>
  </si>
  <si>
    <t>Owner 1 Email</t>
  </si>
  <si>
    <t>Owner 1 Phone Number</t>
  </si>
  <si>
    <t>Owner 1 Street Address</t>
  </si>
  <si>
    <t>Owner 1 City</t>
  </si>
  <si>
    <t>Owner 1 Zipcode</t>
  </si>
  <si>
    <t>Owner 1 State</t>
  </si>
  <si>
    <t>Owner 1 Country</t>
  </si>
  <si>
    <t>Owner 1 Notes</t>
  </si>
  <si>
    <t>Owner 2 First Name</t>
  </si>
  <si>
    <t>Owner 2 Last Name</t>
  </si>
  <si>
    <t>Owner 2 Company Name</t>
  </si>
  <si>
    <t>Owner 2 Email</t>
  </si>
  <si>
    <t>Owner 2 Phone Number</t>
  </si>
  <si>
    <t>Owner 2 Percentage</t>
  </si>
  <si>
    <t>Owner 2 Zipcode</t>
  </si>
  <si>
    <t>Owner 2 State</t>
  </si>
  <si>
    <t>Owner 2 Country</t>
  </si>
  <si>
    <t>Owner 2 Notes</t>
  </si>
  <si>
    <t>On The Blvd Shopping Center</t>
  </si>
  <si>
    <t>101-149 Arnould Blvd.</t>
  </si>
  <si>
    <t>CAM</t>
  </si>
  <si>
    <t>Taxes</t>
  </si>
  <si>
    <t>Insurance</t>
  </si>
  <si>
    <t>DELI MANAGEMENT</t>
  </si>
  <si>
    <t xml:space="preserve"> INC.</t>
  </si>
  <si>
    <t>Full service deli restaurant. Prohibited from changing use without Lessor consent. Includes outdoor dining area rights via Schedule I.</t>
  </si>
  <si>
    <t>BELLE REALTY OF LAFAYETTE</t>
  </si>
  <si>
    <t xml:space="preserve"> L.L.C.</t>
  </si>
  <si>
    <t>info@lawbecker.com</t>
  </si>
  <si>
    <t>101 Arnould Boulevard</t>
  </si>
  <si>
    <t>Managed by Abdalla Enterprises LLC. Tenant has exclusive rights against other delis/sandwich shops.</t>
  </si>
  <si>
    <t>Barber Shop - Use restrictions: No deli/restaurant similar to Jason's Deli; No cat veterinary clinic; No retail boutique; No infrared sauna fitness studio.</t>
  </si>
  <si>
    <t>Belle Realty of Lafayette LLC</t>
  </si>
  <si>
    <t>337-769-1554</t>
  </si>
  <si>
    <t>PO Box 62230</t>
  </si>
  <si>
    <t>Managed by Abdalla Enterprises LLC.</t>
  </si>
  <si>
    <t>Retail boutique. Exclusive rights regarding specific gift/monogram items per Section 35.01.</t>
  </si>
  <si>
    <t>337-232-5684</t>
  </si>
  <si>
    <t>Managed by Abdalla Enterprises LLC. Includes personal guaranty by Amy S. Brown.</t>
  </si>
  <si>
    <t>Painted Bayou LLC</t>
  </si>
  <si>
    <t>Retail boutique. Includes specific prohibited uses (deli/sauna/vet clinic) to protect other tenant exclusives.</t>
  </si>
  <si>
    <t>Managed by Abdalla Enterprises LLC. Includes personal guaranty by Kristi M. Dugal.</t>
  </si>
  <si>
    <t>GREEK EXPRESSIONS LLC</t>
  </si>
  <si>
    <t>Retail boutique specializing in Greek paraphernalia. Nicole Abdalla personal guaranty.</t>
  </si>
  <si>
    <t>JC Kate LLC</t>
  </si>
  <si>
    <t>Retail boutique. Janet B. Cato personal guaranty. Modified by First Addendum.</t>
  </si>
  <si>
    <t>Graze Acadiana L.L.C.</t>
  </si>
  <si>
    <t>Preparation and sale of charcuterie boards. Modified by First Addendum. Tonya Ardoin guaranty.</t>
  </si>
  <si>
    <t>Victoria Nails L.L.C.</t>
  </si>
  <si>
    <t>Nail salon. Current term extended by Fourth Addendum.</t>
  </si>
  <si>
    <t>The Clothing Loft LLC</t>
  </si>
  <si>
    <t>Retail boutique. Nicole Abdalla personal guaranty.</t>
  </si>
  <si>
    <t>OUPAC FINANCIAL SERVICES</t>
  </si>
  <si>
    <t>Consumer finance. Personal guaranty by S. Bradley O'Pry.</t>
  </si>
  <si>
    <t>CAT CLINIC OF LAFAYETTE</t>
  </si>
  <si>
    <t>Veterinary clinic primarily for cats. Personal guaranty by Dr. J.S. Edwards.</t>
  </si>
  <si>
    <t>HOT ACADIANA</t>
  </si>
  <si>
    <t xml:space="preserve"> LLC</t>
  </si>
  <si>
    <t>24-hour Infrared Sauna studio. Ryan J. Hebert personal guaranty.</t>
  </si>
  <si>
    <t>The Tux Shoppe L.L.C.</t>
  </si>
  <si>
    <t>Retail sale and rental of tuxedos. Nicole Abdalla personal guaranty.</t>
  </si>
  <si>
    <t>Fast Pass Tag &amp; Title LLC</t>
  </si>
  <si>
    <t>Public tag agent and title service. Nicole Abdalla personal guaranty.</t>
  </si>
  <si>
    <t>Property Street Address 2</t>
  </si>
  <si>
    <t>Property Description</t>
  </si>
  <si>
    <t>Property Notes</t>
  </si>
  <si>
    <t>Unit Type</t>
  </si>
  <si>
    <t>Unit Description</t>
  </si>
  <si>
    <t>Unit Notes</t>
  </si>
  <si>
    <t>Pet Deposit Amount</t>
  </si>
  <si>
    <t>Charge Late Fees</t>
  </si>
  <si>
    <t>Late Fee Amount</t>
  </si>
  <si>
    <t>Late Fee Type</t>
  </si>
  <si>
    <t>Grace Period Days</t>
  </si>
  <si>
    <t>Other Recurring Charge 1 Frequency</t>
  </si>
  <si>
    <t>Other Recurring Charge 2 Frequency</t>
  </si>
  <si>
    <t>One-Time Charge 1 Name</t>
  </si>
  <si>
    <t>One-Time Charge 1 Amount</t>
  </si>
  <si>
    <t>One-Time Charge 2 Name</t>
  </si>
  <si>
    <t>One-Time Charge 2 Amount</t>
  </si>
  <si>
    <t>Tenant 1 Emergency Contact Name</t>
  </si>
  <si>
    <t>Tenant 1 Emergency Contact Phone</t>
  </si>
  <si>
    <t>Tenant 2 Phone Number</t>
  </si>
  <si>
    <t>Tenant 2 Emergency Contact Name</t>
  </si>
  <si>
    <t>Tenant 2 Emergency Contact Phone</t>
  </si>
  <si>
    <t>Owner 1 Name</t>
  </si>
  <si>
    <t>Owner 1 Company</t>
  </si>
  <si>
    <t>Owner 2 Name</t>
  </si>
  <si>
    <t>Owner 2 Company</t>
  </si>
  <si>
    <t>Owner 2 Street Address</t>
  </si>
  <si>
    <t>Owner 2 City</t>
  </si>
  <si>
    <t>THE BOULEVARD SHOPPING CENTER - Unit 101</t>
  </si>
  <si>
    <t>Retail</t>
  </si>
  <si>
    <t>70506</t>
  </si>
  <si>
    <t>United States</t>
  </si>
  <si>
    <t>Shall Be Used By Lessee During The Term Hereof As A Retail</t>
  </si>
  <si>
    <t>Commercial</t>
  </si>
  <si>
    <t>100.0</t>
  </si>
  <si>
    <t>2022-07-01</t>
  </si>
  <si>
    <t>No</t>
  </si>
  <si>
    <t>6328.03</t>
  </si>
  <si>
    <t>Yes</t>
  </si>
  <si>
    <t>CAM Charges</t>
  </si>
  <si>
    <t>2.1</t>
  </si>
  <si>
    <t>WHEREAS, Lessee wishes to lease two certain portions of the Boulevard Shopping Center Property from Lessor according to the terms and co</t>
  </si>
  <si>
    <t>(337) 837-2000</t>
  </si>
  <si>
    <t>HVAC: HVAC) systems servicing Premises 1 and Premises 2 shall be limited to the first $1,000.00 for each repair visit or the replacement cost or any component part thereof and (ii) the Lessee maintains, at its own expense, for the full term of this Agreement and any renewal or extensions thereof, a monthly maintenance contract with Butcher Air Conditioning for regular routine maintenance to the HVAC systems and components thereof in each of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Itis specifically agreed that the obligations and duties undertaken by Lessee herein shall be separate and distinct as they relate to each of the Premises such that repair, replacement or maintenance costs paid toward the HVAC system serving one of the Premises shall not be applied to or credited to repair or replacement costs associated with the HVAC system serving the other Premises. Lessee further agrees to maintain Premises 1 and Premises 2 in clean and healthful condition and to comply with all laws, ordinances, orders, rules and regulations (state, federal, municipal and any other agencies or bodies having any jurisdiction thereof) with respect to the use, condition or occupancy of Premises 1 and Premises 2. Lessee shall be responsible for contracting for its own waste collection and disposal services, including dumpsters. In discharging the responsibilities hereunder, Lessee shall utilize the services of bonded, licensed contractors to perform all maintenance or repait work to the Premises. Lessee agrees to hire Butcher Air Conditioning (337) 837-2000 to perform all maintenance, repairs and replacements of the heating and air conditioning systems and components servicing Premises 1 and Premises 2; Lessee agrees to hire A&amp;P Electric (337) 856-8383 to perform all maintenance, repairs and replacements of the electrical system and components servicing Premises 1 and Premises 2.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tequite the consent of Lessor, Lessee, after obtaining Lessors consent, shall comply with the following: A. The improvements or alterations shall not be commenced until seven (7) days after Lessor has Lessors Initials Lessees Initials, Page 7 of 29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fot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ptior to the termination of the term of this Agreement; (b) Lessee is not in default of any obligation or covenant under this Agreement at the time of such removal; and (c) Lessee promptly repairs all damage, no matter how slight, caused by the installation, use or temoval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unless otherwise sub-metered, Lessee shall immediately transfer electric utility service from the name of Lessor to the name of Lessee. If the Lessee fails to immediately transfer electric utility service to the name of Lessee, Lessor may, at its discretion, (1) direct the electric utility provider to discontinue service to the Premises in Lessors name, or (ii) make electric utility payments on behalf of Lessee and require that Lessee remit to Lessor full reimbursement for such payments. Lessee shall not disconnect the electricity, gas of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Lessors Initials Lessees Initials, Page 8 of 29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in accordance with the following general areas which shall be further defined by Lessor and Lessee acting in good faith. General Description of Signage: Exterior channel lettering signage facing Arnould Blvd.; Exterior channel lettering signage facing Johnston Street; Exterior Signage under walkway affixed to the exterior of the building facing Arnould Blvd.; Exterior signage under walkway affixed to the exterior of building facing Johnston Street; Exterior Vinyl Signage facing Johnston Street; Exterior Vinyl Signage facing Marie Antoinette; and Blade Sign(s) located under the walkway and affixed to the ceiling of the walkway. wmeadge,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of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All signage shall be paid for by the Lessee. It is specifically understood that due to the nature and location of the Premises, Lessee has not only the right, but an obligation to erect such signage listed herein and said obligation is a material inducement for Lessor entering into this Agreement. Notwithstanding anything contained herein to the contrary, Lessee may be required to surrender the signage spot on the pylon sign in order for Lessor to be able to sign a new Lessee who may fequite it. Section 13.01 - Access: Lessor and its authorized representatives shall have the right after twelve (12) hours notice to Lessee, to enter Premises 1 and/or Premises 2 during Lessees business hours and at all other reasonable times with such prior notice for the purpose of: A. Determining whether the Premises are in good condition and whether Lessee is complying with its obligations under this Agreement; B. Doing any necessary maintenance and to make any restoration or repair to the Premises or the building and other improvements in which the Premises are located that Lessor has the right or obligation to perform. Lessors a Lessees Initials. Page 9 of 29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occurting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ot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liabilitiesdessee may have to Lessors Initials Lessees Initials, Page 10 of 29 Lessor at law or in equity and shall survive the termination of this Agreement. Section 15.01 - Insurance: Lessee, at its cost, shall maintain comprehensive general liability insurance in a minimum amount of $1,000,000.00 for each occurrence with a $5,000,000.00 general aggregate, including $1,000,000.00 personal and advertising coverage, $500,000.00 in fire legal liability, and $5,000.00 in medical payments, insuring against all liability of Lessee arising out of and in connection with Lessee's use ot occupancy of both Premises 1 and Premises 2.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tight of recovery by way of subrogation against either party in connection with any liabilities or damage covered by any policy. Section 17.01 - Damage or Destruction If Premises 1 and/or Premises 2 are so damaged or destroyed by fire, flood, earthquake, the elements, casualty, war, riot, public disorder, acts authorized or unauthorized by the government (including a condemnation proceeding) or any other cause or happening so as to render Premises 1 and/or Premises 2 unusable for Lessee's operations, as determined by the Lessor acting in good faith and in a commercially reasonable manner, this Agreement shall terminate as it relates to either Premises 1, Premises 2, or both Premises, as the case may be,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ot gross negligence of Lessee, its employees, officers, directors, shareholders, members, partners, representatives, agents, customers, guests, invitees or licensees. If Premises 1 and/or Premises 2 ate partially damaged or rendered partially unusable by fire or other casualty, as set forth above, in the immediately preceding sentence, Lessee shall give Lessor written notice of the damage and if repairs are not undertaken by the Lessee within thirty (30) days from the date of such notice to Lessor, Lessor may terminate this Agreement as to the damaged premises only, whether it be Premises 1, Premises 2, or both Premises, by giving written notice to the Lessee. If Lessor elects not to terminate, this Agreement shall continue in full force and effect and the damages to Premises 1 and remises 2 shall be Lessors Initials Lessees In ios AY Page 11 of 29 repaired by and at the expenses of Lessee, except to the extent provided for or compensated for by Lessors insurance. Moreover, until such repair is substantially completed so that full use and occupancy of Premises 1 and/or Premises 2 by Lessee is possible, the rent shall be apportioned according to the portion of Premises 1 and/or Premises 2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are located, or any portion thereof, provided such damaged portion contains all or a portion of the either Premises 1 or Premises 2, is partially damaged or rendered partially unusable by fire are other casualty set forth above, as determined by the Lessor acting in good faith and in a commercially reasonable manner, Lessor shall undertake the repair of the building and Premises 1 and/or Premises 2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Premises 1 and/or Premises 2 by the Lessee is possible, the rent shall be apportioned according to the portion of Premises 1 and/or Premises 2 remaining usable. Ifsuch repairs are not completed within one-hundred eighty (180) days from the date that the repair work is began, either party may terminate this Agreement by giving written notice to the other party within ten (10) days of the expiration of the 180 day period. It is specifically agreed that the remedies provided herein are applicable as they relate to the premises that is damaged or destroyed, or partially damaged or destroyed, whether it be Premises 1, Premises 2, or both Premises, and that any rent abatement or reduction or early termination of this Agreement due to damage or destruction or partial damage or destruction is only effective as to that specific premises, whether it be Premises 1, Premises 2, or both Premises.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ot B. Lessee shall fail to pay the rental due hereunder or any other amount payable to Lessor hereunder; or C. Lessee shall fail to conduct business operations on the Premises and/or shall demonstrate other indicia of abandonment in such a manner that results in Lessors teasonable belief that Lessee has abandoned or vacated the Premises; or D. Lessee shall fail to perform any requirements of this Agreement, other than a failure desctibed in subsection 18.01(B) or 18.01 (C) above, and such failure shall continue for five (5) days after written notice of such failure from Lessor delivered to Lessee. a Lessors Initials Lessees an. on Page 12 of 29 Upon the occurrence of any one or more of such events of default, at the option of Lessor, (i) this Agreement shall cease and terminate immediately and Lessee shall quit and surrender the Premises to Lessor, ot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Premises 1 and/or Premises 2, then the Lessee shall be entitled to the abatement of the monthly rent payable under this Agreement and the amount of such abatement shall be in the same proportion as the amount of Premises 1 and/or Premises 2 rendered unusable by Lessor's default is to the totality of Premises 1 and/or Premises 2, as the case may be. Section 20.01 - Surrender of Premises: Upon termination of this Agreement by lapse of time or otherwise, Lessee shall immediately surrender the Premises in as good condition as they were in at the beginning of the term, ordinary wear and tear and alterations, changes and additions made in compliance with this Agreement, acts of God, and other casualty excepted. In the event the Lessee retains possession of Premises 1 and/or Premises 2 without exercising its options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Premises 1 and/or Premises 2 after the termination date of this Agreement. Section 21.01 - Notice: Any notice, demand, request, or consent that either patty describes or is requited to be given hereunder shall be in writing and shall be deemed sufficient if sent by United States first class mail, return receipt requested: LESSOR: BELLE REALTY OF LAFAYETTE, L.L.C. PO Box 62230 Lafayette, LA 70596 c/o Adam Abdalla 337-288-5411 adam@belle-realty.com Lessors Initials Lessees In wie OYE Page 13 of 29 LESSEE: THE PINK PAISLEY, L.L.C. 1216 N. Dugas Road Lafayette, LA 70507 Amy Lemoine 1216 N. Dugas Road Lafayette, LA 70507 Either party may notify the other in writing of any different address for notice purposes. All such notices shall be deemed given on the date of receipt at the applicable address as evidenced by the return receipt. Section 22.01- Common Area, Non-Exclusive Cross Use Easement and Parking: Lessor shall have the sole and exclusive control of the Common Atea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tights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Lessors Initials Lessees Initials, Page 14 of 29 Section 25.01- Heirs and Successors: Subject to the provisions hereof pertaining to assignment and subletting, the covenants and agreements of this Agreement shall be binding upon the heirs, legal representatives, successors and assigns of the parties hereto. Section 26.01-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shall bring suit to recover any rent due hereunder, or for breach of any provision of this Agreement or to recover possession of Premises 1 and/or Premises 2, ot if Lessee shall bring any action for any telief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five (5) years, commencing on the next day following the expiration of the Initial Term. All of the terms and conditions of this Agreement shall apply during the renewal term except that the Base Rent shall be $16.88 PSF .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integest or fee simple Lessors Initials Lessees Initials, Page 15 of 29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ptovided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toa lender who lends all or a portion of the purchase money for any property or equipment placed on the Premises by Lessee. Section 34.01 Prior Lease Agreement: Lessor and Lessee acknowledge that they are the parties to that certain Lease Agreement dated June 26, 2020, (the Prior Lease), which is currently in full force and effect and by which Lessee currently leases Premises 2. The parties agree that this Agreement for the lease of Premises 1 and Premises 2 supersedes and replaces the Prior Lease, and that the Prior Lease shall terminate as of March 1, 2023. Lessor and Lessee acknowledge that the openings in the walls separating Units 103 &amp; 105 shall be replaced at the cost of Lessor Section 35.01 Items Removed During Alterations: Lessee acknowledges and agrees that some items located in Premises 1 and Premises 2 have sentimental value to Les</t>
  </si>
  <si>
    <t>100%</t>
  </si>
  <si>
    <t>THE BOULEVARD SHOPPING CENTER - Unit 105</t>
  </si>
  <si>
    <t>The Premises Shall Be Used By Lessee During The Term Hereof For The Operation Of A Painting Gift Store</t>
  </si>
  <si>
    <t>731.41</t>
  </si>
  <si>
    <t>2020-02-01</t>
  </si>
  <si>
    <t>2.0</t>
  </si>
  <si>
    <t>PAINTED BAYOU, LLC</t>
  </si>
  <si>
    <t>HVAC: HVAC) system servicing the _4 1,000 Premises provided that (i) the Lessee shall pay the first $700.00 for each repair visit and the first $4,600.00 toward the replacement cost of the HVAC system or any component thereof, and (ii) the Lessee maintains, at its own expense, for the full term of this Agreement and any renewal or extensions thereof, a monthly Lessors Initials Lessees Initials Gan Page 6 of 31 . : a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Lessee further agrees to maintain the Premises in clean and healthful condition and to comply with all laws, ordinances, orders, rules and regulations (state, federal, maunicipal and any other agencies or bodies having any jurisdiction thereof) with respect to the use, condition ot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setvicing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expitation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Lessors [nitials Lessees Initials CM _ Page 7 of 31 Moreover, any additions, alterations and improvements made by Lessee, with or without consent of the Lessor, no matter how attached to the Premises, shall remain the property of the Lessor unless otherwise stipulated herein, and Lessee expressly waives any tight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sate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 services to the trash or refuse generated by or related to the Premises. :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Lessots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wail. Lessor shall have the right to approve such Lessors Initials i Lessees Initials  a Page 8 of 31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temove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tight to remove the sign or signs and the Lessee shall be responsible for the payment of such removal and such cost ot expense shall be considered as rent due hereunder. Tn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Lessces business hours and at all other reasonable times with such puior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Cc. Posting for rent or for lease signs during the last three (3) months of the term of this Agreement or any renewal thereof. Section 14.01 Indemnity: _ Lessee shall hold Lessor harmless from all damages arising out of any loss, theft, injury or damage to any person or property {as the case may be) occurring in, on, or about the Premises except for damages resulting from the gtoss negligence or willful conduct of Lessor. Lessee shall be liable to Lessor fot damages resulting from the acts or omissions of Lessee, its employees, officers, directors, shareholders, members, partners, representatives, agents, customers, guests, invitees and licensees ot of Lessee's, its employces, officers, ditectors, shareholders, members, partnets, representatives, agents, customers, puests,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AS Lessees Initials Ed _ Page 9 of 31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texm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Lessors Initials : Lessees Initials Eo. Page 10 of 31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shail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lability and waive all right of subrogation against each other for any loss or damage to their respective properties. Each party shall cause each insurance policy obtained by it to provide that the insurance company waives all nght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mannet, this Agreement shall terminate immediately, and any unearned rent paid by Lessee shall be refunded without demand, setoff or reduction as of the date of such destruction or damage. However, there shall be no termination and no refund of uneamed tent, except to the extent provided for or compensated for by Lessors insurance, paid by Lessee, if the damage is caused by the negligence, willful misconduct or gross negligence of Lessee, its employees, officets, dixectors,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Lessors Initials Ap Lessees Initials Gs  Page 11 of 34 If the building in which the Premises is located, or any pottion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gtoss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tepair is substantially completed so that full use and occupancy of the Premises by the Lessee is possible, the rent shall be apportioned according to the portion of the Premises remaining usable. If such repairs ate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voluntaty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shail fail to pay the rental due hereunder or any other amount payable to Lessor hereunder; or Cc.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wntten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ot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Lessors Initials 7 Lessees Initials Eud_ Page 12 of 31 _ and Lessees property therefrom. Time is of the essence with respect to all matters described in this Section 18.01. Section 19.01  Lessors Defautt: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cute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tent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ot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LESSEE: PAINTED BAYOU, LLC 424 Kim Drive Lafayette, LA 70503 Lessors tnitials a } Lessees Initials nd _ Page 13 of 31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ot invitees as a result of the use by any person  or persons of the Common Area. Lessor's rights with respect to the Common Area shall include, but not be limited to, the right to (i) restrict the use of the Common Area by unauthorized persons (i) utilize from time to time any portion of the Common Area for promotional and related matters, (iit) temporarily close any portion of the Common Area for repairs, renovations, alterations or otherwise (iv) lumut the activities or uses of the Common Area by the Lessee, its agents, invitees, and employees. Bach lessee of the Boulevard Shopping Center Property shall have a non-exclusive tight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ot permit to be performed any maintenance on any vehicles in the Common Atea. All delivery vehicles owned and operated by any lessee in connection with its business located in the Boulevatd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ot agreements herein contained. Section 25.01 - Heirs and Successors: Lessors Initials a Lessees initials 6 . Page 74 of 31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Lessots reasonable attorneys fees and costs associated with such enforcement and/or notification and shall pay such fees and/or costs, including the cost of delivering notice of default, within thirty (30) days of receipt of written notice of the ammount of such attorneys fees and/or costs incurred by Lessor. If by reason of any default on the part of Lessee, Lessor shall bring suit to recover any tent due hereunder, or for breach of any provision of this Agreement of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tenew the lease for one (1) additional term of three (3) years, commencing on the next day following the expiration of the Initial Term. All of the terms and conditions of this Agreement shail apply during the renewal texm except that the Monthly Rental Amount shall be negotiated by the Lessor and the Lessee. The option to Lessors Initials (iV Lessees Initials Page 15 of 31 renew shall be exercised by written notice given to Lessor by Lessee not Jess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encumbets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ot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cettificate or a three-patty agreement certifying such facts and agreeing to such notice provisions and other matters as may reasonably be required. Section 33.01 - Lien For Payment of Rent: In consideration of mutual benefits arising by virtue of this Agreement, Lessee does hereby mortgage unto Lessor all property of Lessee now or hereafter placed in or upon the Premises (except such patt of property or -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of a portion of the purchase money for any property or equipment placed on the Premises by Lessee. Section 35.01  Security Deposit: _ (d tM. Lessee has paid Lessor at the execution hereof the sum of $2;592:35 (the Security Deposit) as secunty for its performance of the terms hereof by Lessee. Provided Lessee is not in default of this Agreement, the Security Lessors Initials h ) Lessees {nitials cL Page 16 of 31 Deposit shail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patty to this Agreement, by written or oral communication, the terms, conditions or substance of this Agreement or the lease set forth herein. [SIGNATURES APPEAR ON THE FOLLOWING PAGES] List of Schedules: Schedule A  Plat of Leased Premises Schedule B  Site Plan of Common Area Schedule C - Rules &amp; Regulations Schedule D ~ Design Criteria for Lessee Signs Lessors initials 5 Lessees Imtials Cx) Page 17 of 31 IN WITNESS WHEREOF the patties hereto have executed this Agreement the day and year first above. WITNESSES: LESSOR: BELLE REALTY OF LAFAYETTE, Printed Name: LLC, a Louisiana limited liability company By: Printed Name: Notary Public Lessors Initials fy Lessees initials CE y Page 18 of 31 IN WITNESS WHEREOF the parties hereto have executed this Agreement the day and year first above. WITNESSES: LESSEE: PAINTED BAYOU, LLC, Printed Name: 2 a Louisiana limited lability company Printed Name: Tite. _ Sole memQocm Lessors Initials Lessees Initials [&lt;= Page 19 of 31 SCHEDULE A BOULEVARD SHOPPING CENTER PROPERTY PLA</t>
  </si>
  <si>
    <t>including but not limited to any tenants or occupants at On The Boulevard Shopping Center</t>
  </si>
  <si>
    <t>01 of the Original Lease Agreement and subject to the terms and conditions set forth in this First Addendum</t>
  </si>
  <si>
    <t>the Lessor and the Lessee are extending the Original Lease Agreement Initial Term</t>
  </si>
  <si>
    <t>2019-11-25</t>
  </si>
  <si>
    <t>NOW, THEREFORE, in consideration of the foregoing mutual covenants contained herein and other good and valuable co</t>
  </si>
  <si>
    <t>ACH payment required; Insurance: 1 requirements; Review Required: Missing base rent amount; Missing tenant email - requires lookup; Missing tenant phone - requires lookup</t>
  </si>
  <si>
    <t>EXHIBIT A THE BOULEVARD SHOPPING CENTER</t>
  </si>
  <si>
    <t>504 Park Ave. Abbeville</t>
  </si>
  <si>
    <t>70510</t>
  </si>
  <si>
    <t>by and between Lessor and Lessee, a co</t>
  </si>
  <si>
    <t>ACH payment required; Signage: 1 approvals required; Review Required: Missing lease commencement date; Missing lease expiration date; Missing base rent amount</t>
  </si>
  <si>
    <t>THE BOULEVARD SHOPPING CENTER - Unit 3</t>
  </si>
  <si>
    <t>The Premises Shall Be Used By Lessee During The Term Hereof As A Retail</t>
  </si>
  <si>
    <t>3</t>
  </si>
  <si>
    <t>13.0</t>
  </si>
  <si>
    <t>2758.17</t>
  </si>
  <si>
    <t>J. C. KATE BOUTIQUE LLC</t>
  </si>
  <si>
    <t>(337) 369-9645</t>
  </si>
  <si>
    <t>HVAC: HVAC) system servicing the Premises provided that (i) the Lessee shall pay the first $750.00 for each repair visit and the first $750.00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dumpsters, and shall use Deep South Containers, L.L.C. or other agreeable waste collection and disposal company for this purpose. To contact Deep South Containers, L.L.C., please call (337) 369-9645 or visit their website at www.alldaywaste.com.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Gp Lessors Initials Lessees Initials JI ) Page 7 of 27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a electric utility Lessors Initials Lessees Initials__&lt; ) ) Page 8 of 27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Cm Premises or Lessors Initials Lessees Initials ) D __ Page 9 of 27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7) omprehensive Lessors Initials 4 Lessees Initials _ ) l ) Page 10 of 27 Environmental Response, Compensation and Liability Act of 1980, as amended, 42 U.S.C. 9601, et seq., the Resource Conservation and Recovery Act, 42 U.S.C. 2201, et seg.,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aC war, Lessors Initials Lessees Initials JIDb Page 11 of 27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ee Lessors Initials Lessees Initials J ) Page 12 of 27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Lessors Initials y) Lessees Initials  | l ) Page 13 of 27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with copy to: Katherine E. Currie, Esq. BECKER AND HEBERT 201 Rue Beauregard Lafayette, Louisiana 70508 LESSEE: J.C. KATE BOUTIQUE LLC 8305 Maurice Avenue, Suite 3 Maurice, Louisiana 70555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Om rights with Lessors Initials Lessees Initials) | ) Page 14 of 27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otherparty to do so, Lessors Initials Lessees wniiats_C)P) Page 15 of 27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a need by Lessors Initials Lessees Initials Page 16 of 27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34.01  Security Deposit: Lessee has paid Lessor at the execution hereof the sum of $2,758.17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35.01  Rules and Regulations: The Lessee agrees that during the initial term of this Agreement and any renewal-thergof/to fully rs Lessors Initials o Lessees Initials J Page 17 of 27 Section 36.01  Design Criteria For Lessee Signs: The Lessee agrees that any sign placed on or otherwise affixed to the Premises or to the Shopping Center advertising the Lessees business shall be in strict accordance with this Agreement and Schedule D attached hereto. Section 37.01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ee Lessees I</t>
  </si>
  <si>
    <t>for the lease of a portion of The Boulevard Shopping Center</t>
  </si>
  <si>
    <t>of</t>
  </si>
  <si>
    <t>the</t>
  </si>
  <si>
    <t>Review Required: Missing property address; Missing lease commencement date; Missing lease expiration date</t>
  </si>
  <si>
    <t>The Premises Shall Be Used By Lessee During The Term Hereof As Sales And Repair Business For Sewing Machines And Related Items And General Office</t>
  </si>
  <si>
    <t>1780.2</t>
  </si>
  <si>
    <t>LOLA PINK FABRICS, LLC</t>
  </si>
  <si>
    <t>HVAC: HVAC) system servicing the Premises provided that (i) the Lessee shall pay the first $750.00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fifty-percent (50%) toward the replacement cost of the HVAC system. iY Lessors Initials Lessees Initials Page 7 of 30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Lessors Initials Lessees Initials Page 8 of 30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Fe Lessors Initials  | Lessees Initials Page 9 of 30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occurting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shareholdets,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 |  Lessees Initials Page l 0 of 30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Lessors Initials Lessees Initials Page 11 of 30 to apply on a primary basis. It is further provided that Lessee's insurance policies and coverage shall contain (cither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Lessors Initials Lessees Initials Page 12 of 30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ot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AW Lessors Initials J 7, Lessees Initials Page 13 of 30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PO BOX 62230 Lafayette, Louisiana 70506 LESSEE: LOLA PINK FABRJCS, LLC 111 Arnould Blvd. Lafayette, LA 70506 Lessors Initials  il Lessees Initials Page 14 of 30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ot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Lessors Initials Gy Lessees Initials Page 15 of 30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Lessors Initials Lessees Initials Page 16 of 30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Intentionally Omitted Section 35.01  Security Deposit: Lessee has paid Lessor the amount of $1780.20 in connection with a previous lease agreement which Lessor acknowledges the receipt and possession of and on or before February 1, 2024, Lessee shall pay to Lessor the sum of $121.05 for a total amount in the sum of $1,901.25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pS Lessors Initials ( | | !) Lessees Initials Page 17 of 30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qv | Lessees Initials mavay Page 1 8 of 30 IN WITNESS WHEREOF the parties hereto have executed this Agreement the day and year first above. WITNESSES: LESSOR: BELLE REALTY OF LAFAYETTE, LLC, Printed Name: a Louisiana limited liability company By: Printed Name: WITNESSES: LESSEE: LOLA PINK FABRICS, LLC, Printed Name: a Louisiana limited liability company eae By: Printed Name: / Lessors Initials ate Lessees Initials Page 19 o 30 SCHEDULE A BOULEVARD SHOPPING CENTER PROPERTY PLAT SHOWING PREMISES LEASED Lessors Initials Lessees Initials Page 20 of 30 SCHEDULE B BOULEVARD SHOPPING CENTER PROPERTY SITE PLAN SHOWING COMMON AREA team omess|F | = = vets Seem om aaa See tates toms ma na Lessees Initials Page 21 of 30 SCHEDULE C THE BOULEVARD SHOPPING CENTER PROPERTY RULES AND REGULATIONS All loading and unloading of goods shall be done only at such times, in the ateas, and through the entrances, designated for such purposes by Lessor. The delivery or shipping of merchandise, supplies, and fixtures to and from the Premises shall be subject to such rules and regulations, which in the sole judgment of Lessor are necessary for the proper operation of the Premises or the Boulevard Shopping Center (the Shopping Center). All garbage and refuse shall be kept in the kind of container or receptacle specified by Lessor, and shall be placed</t>
  </si>
  <si>
    <t>THE BOULEVARD SHOPPING CENTER - Unit 113</t>
  </si>
  <si>
    <t>3680.96</t>
  </si>
  <si>
    <t>GRAZE ACADIANA, LLC</t>
  </si>
  <si>
    <t>HVAC: HVAC) system servicing the Premises provided that (1) the Lessee shall pay the first $750.00 for each repair visit and the first $750.00 toward the replacement cost of the HVAC system or any component thereof, and (11)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Repait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Lessors Initials CO Lessees Initials Page 7 of 29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dumpsters, and shall use Deep South Containers, L.L.C. or other agreeable waste collection and disposal company for this purpose. To contact Deep South Containers, L.L.C., please call (337) 369- 9645 or visit their website at www.alldaywaste.com.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ate to commence and Lessor has consented to same. B. The improvements or alterations shall be in conformance with all applicable local, state ot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Lessors Initials Lessees Initials Page 8 of 29 Moreover, any additions, alterations and improvements made by Lessee, with or without consent of the Lessor, no matter how attached to the Premises, shall remain the ptoperty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fitst consulting the Lessor and obtaining Lessors written permission. Notwithstanding anything contained herein to the contrary, Lessee, in consideration of and as an enticement for the Lessor to grant the months of abated rent set forth in Section 4 hereof, Lessee agree to perform the renovations set forth on Schedule E, attached hereto and made a part hereof.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Lessors Initials WM Lessees Initials &lt;j (| | VA Page 9 of 29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Lessee must obtain prior written approval from Lessor.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Lessees Initials Page 10 of 29 Section 14.01 Indemnity: Lessee shall hold Lessor harmless from all damages arising out of any loss, theft, injury or damage to any petson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pattners, fepresentatives,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indemunitee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clatms,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Lessors Initials z Lessees Initials Page 11 of 29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hability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ot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Lessors Initials @ Lessees Initials Page 12 of 29 this Agreement shall terminate immediately, and any unearned rent paid by Lessee shall be refunded without demand, setoff or reduction as of the date of such destruction ot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memberts,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ot compensated for by Lessots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commetcially reasonable mannet,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Lessors Initials Lessees Initials AU Page 13 of 29 Section 18.01  Lessees Default: The following events shall be deemed to be events of default by Lessee under this Agreement: A. Lessee shall be adjudged bankrupt, or shall file a voluntary petition in bankruptcy or make a general assignment for the benefit of Lessee's creditors, ot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Lessors Initials G Lessees Initials Page 14 of 29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PO BOX 62230 Lafayette, Louisiana 70596 with copy to: Andree N. Comeaux, Esq. BECKER AND HEBERT, LLC 201 Rue Beauregard Lafayette, Louisiana 70508 LESSEE: GRAZE ACADIANA, LLC 113 Arnould Blvd. Lafayette, LA 70506 Either party may notify the other in writing of any different address for notice purposes. All such notices shall be deemed given on the date of receipt at the applicable address as evidenced by the return receipt and/or delivery confirmation. Lessors Initials d Lessees Initials / (( lv Page 15 of 29 Section 22.01 - Common Area, Non-Exclusive Cross Use Easement and Parking: Lessor shall have the sole and exclusive control of the Common Area as well as the right to make changes to the Common Atea. However, notwithstanding the foregoing, Lessor shall not be responsible for any harm or damage to the Lessee, its offices, employees, shareholders, agents or invitees as a result of the use by any person or persons of the Common Area. Lessot's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Atea fot repairs, renovations, alterations or otherwise (tv) limit the activities or uses of the Common Area by the Lessce, its agents, invitees, and employees. Each lessee of the Boulevard Shopping Center Property shall have a non-exclusive tight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ne i Lessors Initials Lessees Initials 2 f L Page 16 of 29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Lessors Initials Lessees Initials AW Page 17 of 29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 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Lessots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Lessots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ot equipment placed on the Premises by Lessee. Lessors Initials Lessees Initials AV Page 18 of 29 Section 35.01  Security Deposit: Lessee has paid Lessor at the execution hereof the sum of THREE THOUSAND SIX HUNDRED EIGHTY DOLLARS AND NINETY-SIX CENTS ($3,680.96)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</si>
  <si>
    <t>A THE BOULEVARD SHOPPING CENTER - Unit 115</t>
  </si>
  <si>
    <t>The Premises Shall Be Used By Lessee During The Term Hereof As A Retail And Resale Store</t>
  </si>
  <si>
    <t>4941.37</t>
  </si>
  <si>
    <t>THE CLOTHING LOFT EXCHANGE, LLC</t>
  </si>
  <si>
    <t>(713) 504-2081</t>
  </si>
  <si>
    <t>HVAC: HVAC system or any component thereof, and (ii) the Lessee maintains, at its own expense, for the full term of this Agreemenr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$2,500.00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norice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DS. 5 ge ty Page 8 of 31 Lessors Initials Lessees Initials DocuSign Envelope ID: F28BABD7-1347-4553-9227-F2E38B007A0A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nght to approve such signs prior to their placement on the Premises, which approval shall not be unreasonably withheld, and any sign =  = DS Page 9 of 31 Lessors Initials ee Lessees Initials a | ) DocuSign Envelope ID: F28BABD7-1347-4553-9227-F2E38B007A0A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aS A Page 10 of 31 Lessors Initials Lessees Initials DocuSign Envelope ID: F28BABD7-1347-4553-9227-F2E38B007A0A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of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bur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y f C&gt; Ds Page 11 of 31 Lessors Initials dv Lessees Initials tT) DocuSign Envelope ID; F28BABD7-1347-4553-9227-F2E38B007A0A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Lessec's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bs meet SSCs Lessees Initials Tt age 12 of 3] Lessors Initials DocuSign Envelope ID: F28BABD7-1347-4553-9227-F 2E3BBO07A0A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ts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a os Page 13 of 31 Lessors Initials Lessees Initials DocuSign Envelope ID: F28BABD7-1347-4553-9227-F2E38B007A0A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LESSEE: THE CLOTHING LOT EXCHANGE, LLC 115 &amp; 117 Amould Boulevard Lafayette, Louisiana 70506 Either party may notify the other in writing of any different address tor notice purposes. All such notices shall be deemed given on the date of receipt at the applicable address as evidenced by the return receipt and/or delivery confirmation. Section 22.01 - Common Area, Non-Exclusive Cross Use Easement and Parking:  -_ 2 2 DS Page 14 ef 31 Lessors Initials Lessees Initials DocuSign Envelope ID: F28BABD7-1347-4553-9227-F2E38B007A0A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(lil)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ps Page 15 of 31 Lessors Initials \. ai Lessees Initials DocuSign Envelope ID; F28BABD7-1347-4553-9227-F2E38B007A0A This Agreement shall not be recorded, excepr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ot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 ps Page 16 of 31 Lessors Initials Lessees Initials = DocuSign Envelope ID; F28BABD7-1347-4553-9227-F 2E38B007A0A subordination, however, Lessee shall, at Lessors request, prompuy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$4,941.37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Cas the same may be amended from time to time by the Lessor. Section 37.01  Design Criteria For Lessee Signs: qf Page 17 of 31 Lessors Initials : Lessees Initials DocuSign Envelope ID: F283BABD7-1347-4553-9227-F2E38B007A0A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4/ oa Page 18 of 31 Lessors Initials so Lessees Initials i g  DocuSign Envelope ID; F28BABD7-1347-4553-9227-F2E38B007A0A IN WITNESS WHEREOF the parties hereto have executed this Agreement the day and year first above. WITNESSES: . LESSOR:: \ BELLE REALTY OF LA</t>
  </si>
  <si>
    <t>The Common Area Maintenance Charge shall mean the aggregate of all costs and expenses payable by Lessor in connection with the operation and maintenance of the Common Area in the Boulevard Shopping Center</t>
  </si>
  <si>
    <t>43 Notwithstanding anything contained herein to the contrary</t>
  </si>
  <si>
    <t>beginning in the second year of the Renewal Term</t>
  </si>
  <si>
    <t>62230</t>
  </si>
  <si>
    <t>13.5</t>
  </si>
  <si>
    <t>2020-03-01</t>
  </si>
  <si>
    <t>14.0</t>
  </si>
  <si>
    <t>and WHEREAS, the Lease Agreement co</t>
  </si>
  <si>
    <t>ACH payment required; Signage: 1 approvals required; Insurance: 6 requirements; Review Required: Missing tenant email - requires lookup; Missing tenant phone - requires lookup</t>
  </si>
  <si>
    <t>THE BOULEVARD SHOPPING CENTER - Unit 119</t>
  </si>
  <si>
    <t>The Premises Shall Be Used By Lessee During The Term Hereof As A General Office</t>
  </si>
  <si>
    <t>2021-03-01</t>
  </si>
  <si>
    <t>2985.4</t>
  </si>
  <si>
    <t>DACO INVESTMENTS, LLC</t>
  </si>
  <si>
    <t>HVAC: heating and air conditioning systems and components thereof serving the Premises, and shall surrender the same at termination hereof, in as good condition as received, normal wear and tear excepted. Lessee shall be responsible for all repairs required, excepting the roof, exterior walls and structural foundation, which shall be maintained by Lessor. Lessee shall also be responsible for keeping at all times areas immediately adjacent to the Premises, such as sidewalks and parking areas, free and clear of trash and other refuse. Lessee shall promptly repair any damage to any part of the building in which the Premises is located in the event such damage is caused by or attributable to the actions or inactions of Lessee, its employees, officers, directors, shareholders, members, partners, representatives, agents, customers, guests, invitees or licensees, to the extent to which such is not covered by insurance under Section 15.01. Notwithstanding the foregoing, the Lessor shall be responsible for the repair and replacement, if necessary, of the heating and air conditioning (HVAC) system servicing the Premises provided that (i) the Lessee shall pay the first $750; ACH payment required; CO: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Lessors Initials Lessees Initials IVY Page 12 of 29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Signage: 19 approvals required; Insurance: 17 requirements; Review Required: Missing tenant email - requires lookup; Missing tenant phone - requires lookup; Low cross-reference match score: 0.57</t>
  </si>
  <si>
    <t>Lessee shall promptly repair any damage to any part of the building - Unit 119</t>
  </si>
  <si>
    <t>750.0</t>
  </si>
  <si>
    <t>2023-03-01</t>
  </si>
  <si>
    <t>NOW THEREFORE, in consideration of the foregoing, the mutual covenants contained herein and other good and valuable co</t>
  </si>
  <si>
    <t>HVAC: heating and air conditioning systems and components thereof serving the Premises, and shall surrender the same at termination hereof, in as good condition as received, normal wear and tear excepted. Lessee shall be responsible for all repairs required, excepting the roof, exterior walls and structural foundation, which shall be maintained by Lessor. Lessee shall also be responsible for keeping at all times areas immediately adjacent to the Premises, such as sidewalks and parking areas, free and clear of trash and other refuse. Lessee shall promptly repair any damage to any part of the building in which the Premises is located in the event such damage is caused by or attributable to the actions or inactions of Lessee, its employees, officers, directors, shareholders, members, partners, representatives, agents, customers, guests, invitees or licensees, to the extent to which such is not covered by insurance under Section 15.01. Notwithstanding the foregoing, the Lessor shall be responsible for the repair and replacement, if necessary, of the heating and air conditioning (HVAC) system servicing the Premises provided that (i) the Lessee shall pay the first $750; Insurance: 1 requirements; Review Required: Missing property address; Missing tenant email - requires lookup; Missing tenant phone - requires lookup</t>
  </si>
  <si>
    <t>EXHIBIT A THE BOULEVARD SHOPPING CENTER - Unit 101</t>
  </si>
  <si>
    <t>5 EXHIBIT A THE BOULEVARD SHOPPING CENTER LEASE AGREEMENT Page 5 of 5 THE BOULEVARD SHOPPING CENTER LEASE AGREEMENT This Lease Agreement (the Agreement) is entered into as of the "Tl day of _Drtobe</t>
  </si>
  <si>
    <t>2019</t>
  </si>
  <si>
    <t>The Premises Shall Be Not Be Used During The Initial Term Or Any Renewal Term Hereof As A Delicatessen Or Other Restaurant</t>
  </si>
  <si>
    <t>2019-10-01</t>
  </si>
  <si>
    <t>2706.03</t>
  </si>
  <si>
    <t>CAT CLINIC OF LAFAYETTE, L.L.C.</t>
  </si>
  <si>
    <t>HVAC: HVAC) system servicing the Premises provided that (i) the Lessee shall pay the first $750.00 for each repair visit and the first $750.00 toward the replacement cost of the HVAC system or any component thereof, but shall not be required to pay more than $2,000.00 for such repairs and/or replacements per year beginning on the Commencement Date,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ye toward the replacement cost of the HVAC system. Lessors Initials +  KAR Lessees Initials \' U  Page 7 of 27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Pregflis fe offige Lessors Initials Hie Lessees Initials___ Page 8 of 27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inghid] ut not Lessors Initials t@- 7s Lessees Initials Cc Page 9 of 27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wianfer  + lee Lessees Initials E Page 10 of 27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anyiver% a of Lessors Initials @ o&gt; 4 Lessees Initials Page 11 of 27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(cither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_If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Lesseg#s pgssible, the Lessors Initials offs  Lessees Initials C Page 12 of 27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Lessors Initialse Lessees Initials Page 13 of 27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ae 7" b Lessors Initials\_y # Lessees Initials Cc Page 14 of 27 with copy to: Katherine E. Currie BECKER AND HEBERT 201 Rue Beauregard Lafayette, Louisiana 70508 LESSEE: CAT CLINIC OF LAFAYETTE, L.L.C. 119 1/2 Arnould Blvd. Lafayette, LA 70506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ZO lace Lessors Initials &amp; &amp; 4 - Lessees Initials Cc Page 15 of 27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Agreemgnt o Veg er Lessors Initialso. % o Lessees Initials Page 16 of 27 possession of the Premises, or if Lessee shall bring any action for any relicf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Thirteen Dollars and Fifty Cents ($13.50) base rent.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 emjses Lessors Initials Bix Lessees Initials Cc Page 17 of 27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$2,706.03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 Ef. Lessors Initials oer oe Lessees Initials Page 18 of 27 IN WITNESS WHEREOF the parties hereto have executed this Agreement the day and year first above. LESSOR: BELLE REALTY OF LAFAYETTE, L.L.C., a Louisiana limited liability company dward E. Abdalla, IV Managi</t>
  </si>
  <si>
    <t>HVAC: HVAC) system servicing the Premises provided that (i) the Lessee shall pay the first $750.00 for each repair visit and the first $750.00 toward the replacement cost of the HVAC system or any component thereof, but shall not be required to pay more than $2,000.00 for such repairs and/or replacements per year beginning on the Commencement Date,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$750.00 toward the replacement cost of the HVAC system. Lessors Initials Lessees Initials Page 7 of 27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to perform all maintenance, repairs and replacements of the heating and air conditioning systems and components servicing the Premises; Lessee agrees to hire Magnon Electric to perform all maintenance, repairs and replacements of the electrical system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Lessors Initials Lessees Initials Page 8 of 27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Lessors Initials Lessees Initials Page 9 of 27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Lessors Initials Lessees Initials Page 10 of 27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Lessors Initials Lessees Initials Page 11 of 27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Lessors Initials Lessees Initials Page 12 of 27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Lessors Initials Lessees Initials Page 13 of 27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101 Arnould Boulevard Lafayette, Louisiana 70506 Lessors Initials Lessees Initials Page 14 of 27 with copy to: Katherine E. Currie BECKER AND HEBERT 201 Rue Beauregard Lafayette, Louisiana 70508 LESSEE: CAT CLINIC OF LAFAYETTE, L.L.C. 119 1/2 Arnould Blvd. Lafayette, LA 70506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Lessors Initials Lessees Initials Page 15 of 27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Lessors Initials Lessees Initials Page 16 of 27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commencing on the next day following the expiration of the Initial Term. All of the terms and conditions of this Agreement shall apply during the renewal term except that the Monthly Rental Amount shall be Fifteen Dollars and No Cents ($15.00) base rent.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Lessors Initials Lessees Initials Page 17 of 27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35.01  Security Deposit: Lessee has paid Lessor at the execution hereof the sum of $2,706.03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Lessors Initials Lessees Initials Page 18 of 27 IN WITNESS WHEREOF the parties hereto have executed this Agreement the day and year first above. WITNESSES: LESSOR: BELLE REALTY OF LAFAYETTE, Printed Name: L.L.C., a Louisiana limited liability company By: Printed Name: Edward E. Abdalla, IV Managing Member _________________________________ Notary P</t>
  </si>
  <si>
    <t>ON THE BOULEVARD SHOPPING CENTER - Unit 121</t>
  </si>
  <si>
    <t>114 Constitution Drive</t>
  </si>
  <si>
    <t>70503</t>
  </si>
  <si>
    <t>Service Hair Salon</t>
  </si>
  <si>
    <t>2025-07-01</t>
  </si>
  <si>
    <t>1958.23</t>
  </si>
  <si>
    <t>ROBERTSON FAMILY HOLDINGS, LLC</t>
  </si>
  <si>
    <t>(337) 288-5411</t>
  </si>
  <si>
    <t>HVAC: HVAC) system servicing the Premises provided that (i) the Lessee shall pay the first $1,500.00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Lessors Initials Page 5 of 27 Lessees Initials responsibilities hereunder, Lessee shall utilize the services of bonded, licensed contractors to perform all maintenance or repair work to the Premises. Lessee agrees to hire Broussard &amp; Smith Services or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Lessors Initials Page 6 of 27 Lessees Initials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Page 7 of 27 Lessees Initials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Lessors Initials Page 8 of 27 Lessees Initials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Lessors Initials Page 9 of 27 Lessees Initials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Lessors Initials Page 10 of 27 Lessees Initials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adam@belle-realty.com 337-288-5411 (cell) 337-769-1554 PO Box 62230 Lafayette, LA 70596 belle-realty.com LESSEE: ROBERTSON FAMILY HOLDINGS, LLC c/o Alicia L. Robertson 114 Constitution Drive Lafayette, La 70503 alicialebouef@outlook.com 337-962-1319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Lessors Initials Page 11 of 27 Lessees Initials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Lessors Initials Page 12 of 27 Lessees Initials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three (3)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Material Inducement: The parties acknowledge and agree that the Construction months and Abatement months have been granted to the Lessee as a material inducement to enter into this Agreement. Section 35.01  Security Deposit: Lessee has paid Lessor the amount of $1,958.23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Lessors Initials Page 13 of 27 Lessees Initials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Schedule E: Guaranty Agreement Schedule F: ACH Agreement Schedule G: Breakdown of the Total Monthly Rental Payment for the Initial Term Lessors Initials Page 14 of 27 Lessees Initials IN WITNESS WHEREOF the parties hereto have executed this Agreement the day and year first above. LESSOR: BELLE REALTY OF LAFAYETTE, LLC, a Louisiana limited liability company ____________________________________ Printed Name: ________________________ By: Adam Abdalla Its: Authorized Representative LESSEE: GREEK EXPRESSIONS, LLC, a Louisiana limited liability company ____________________________________ Printed Name: ________________________ By: Adam Abdalla Its: Authorized Representative Lessors Initials Page 15 of 27 Lessees Initials SCHEDULE A BOULEVARD SHOPPING CENTER PROPERTY PLAT SHOWING PREMISES LEASED Lessors Initials Page 16 of 27 Lessees Initials SCHEDULE B BOULEVARD SHOPPING CENTER PROPERTY SITE PLAN SHOWING COMMON AREA Lessors Initials Page 17 of 27 Lessees Initials SCHEDULE C THE BOULEVARD SHOPPING CENTER PROPERTY RULES AND REGULATIONS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t>
  </si>
  <si>
    <t>THE BOULEVARD SHOPPING CENTER - Unit 123</t>
  </si>
  <si>
    <t>123 Arnould Blvd.</t>
  </si>
  <si>
    <t>Premises Shall Be Used By Lessee During The Term Hereof As A Specialty Clothing Store</t>
  </si>
  <si>
    <t>578.99</t>
  </si>
  <si>
    <t>4008.38</t>
  </si>
  <si>
    <t>THE TUX SHOPPE, LLC</t>
  </si>
  <si>
    <t>HVAC: HVAC) system servicing the Premises provided that (i) the Lessee shall pay the first $2,000.00 for each repair visit and fifty-percent (50%)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Lessors Initials Page 7 of 30 Lessees Initials } L 2 : LB visit pursuant to a monthly maintenance contract), then the amount paid by the Lessee toward the cost of the Preceding Repair Visit shall be credited toward the Lessees obligation to pay fifty-percent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Lessors Initials @ Page 8 of 30 Lessees Initials Mt,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I 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clectric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Lessors Initials Page 9 of 30 Lessees Initials Should Lessee choose to place a sign under the Premises walkway, it must be erected by Hubbard Sign Company and paid for by the Lessee. , Section 13.01 - Access: Lessor and its authorized representatives shall have the right after twelve (12) hours notice to Lessee, to enter the during Lessees business hours and at all other reasonable times with such ptior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memberts,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 } Lessors Initials @ Page 10 30 Lessees Initials A ) )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tenewal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ts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7 Vy, Lessors Initials Page 11 of 30 Lessees Initials / ve -~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lhis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1s began, either party may terminate this Agreement by giving written notice to the other party within ten (10) days of the expiration of the 180 day period. Section 18.01  Lessees Default: Lessors Initials Page 12 of 30 Lessees Initials i, &gt; LE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ot B. Lessee shall fail to pay the rental due hereunder ot any other amount payable to Lessor hereunder; or C. Lessee shall fail to conduct business operations on the Premises and/or shall demonstrate other indicia of abandonment in such a manner that results in Lessors reasonable belief that Lessee has abandoned ort vacated the Premises; or D.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ot (ut)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Lessce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Lessors Initials Page 13 of 30 Lessees Initials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LESSEE: THE TUX SHOPPE, LLC LAFAYETTE, LLC c/o Luke Benton and c/o Adam Abdalla Kirk Boudreaux adam(@belle-realty.com 123 Arnould Blvd., 337-288-5411 (cell) Lafayette, Louisiana 70506 337-769-1554 BYeEtael fall eval emevee we eee) PO Box 62230 337-356-4567 (cell) belle-realty.com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 Lessors Initials Page 14 030 Lessees Initials Va a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Lessors Initials Page 2 of 30 Lessees Initials . 4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three (3)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ot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Lessors Initials Page 3 of 30 Lessees Initials Section 33.01  latemtionsl Sorted Subject to the provisions of this Section, Lessee shall have the option to attach a small workshop style building to the exterior of Unit 123 at Lessees sole cost and expense. Lessee warrants and represents that it has performed all due diligence necessary to determine the ability to construct the referenced structure. Lessor makes no representation or warranty to Lessee regarding the proposed structure whatsoever and Lessor shall not be responsible for the condition of the structure. A proposed sketch of the area where the building will be placed ts shown on Schedule FE.  Design Criteria and Location of Lessees Attached Storage Building Section 35.01  Security Deposit: Lessee has paid Lessor the amount of $4,008.38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Lessors Initials f Page 4 of 30 Lessees Initials List of Schedules: Schedule A  Plat of Leased Premises Schedule B  Site Plan of Common Area Schedule C  Rules &amp; Regulations Schedule D  Design Criteria for Lessee Signs Schedule E  Design Criteria and Location of Lessees Attached Storage Building Lessors Initials @ - Page 5 of 30 Lessees Initials IN WITNESS WHEREOF the parties hereto have executed this Agreement the day and year first above. WITNESSES: LESSOR: BELLE REALTY OF LAFAYETTE, LLC, Printed Name: a Louisiana limited Jiability company By: SS Printed Name: Adam Abdalla, Authorized Representative WITNESSES: LESSEE: THE TUX SHOPPE, LLC, Printed Name: a Louisiana limited liability company By: Luke Benton, Managing Member kr bsudreau, MerbeR Printed Name: Lessors Initials UJ : Page 6 of 30 Lessees Initials lex 2 -~ SCHEDULE A BOULEVARD SHOPPING CENTER PROPERTY PLAT SHOWING PREMISES LEASED een Lessors Initials Z Page 7 of 30 Lessees Initials SCHEDULE B BOULEVAR</t>
  </si>
  <si>
    <t>THE BOULEVARD SHOPPING CENTER - Unit 125</t>
  </si>
  <si>
    <t>125 Arnould Boulevard</t>
  </si>
  <si>
    <t>A Delicatessen Or Other Restaurant</t>
  </si>
  <si>
    <t>2500.0</t>
  </si>
  <si>
    <t>JORDAN AMANDA, LLC</t>
  </si>
  <si>
    <t>HVAC: HVAC) system servicing the Premises provided that (i) the Lessee shall pay the first $1500.00 for each repair visit and fifty-percent (50%) toward the replacement cost of the HVAC system or any component thereof, and (ti)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fifty-percent (50%)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Lessors Initials | R Page 7 of 28 Lessees Initials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Premuses,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Lessce,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Lessors Initials ( fi) Z Page 8 of 28 Lessees Initials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Lessce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e%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Lessors Initials Page 9 28 Lessees Initials agents, customers, guests, invitees and licensees or of Lessee's, its employees, officers,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indemnity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discase, behavior abnormalitics,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Lessors Initials G |  Page | 0 of 28 Lessees Initials anniversary date of the Commencement Date, Lessee shall supply to Lessor a certificate that such insurance ts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I lowever,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Lessors Initials ff Page 11 of 28 Lessees Initials -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ot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Lessee's creditors, or a receiver by appointed for Lessee's property, or if execution be issued against Lessee's interest in this Agreement, or if Lessee's interest in this Agreement shall by operation of law pass to any person other than Lessee; or B. Lessce shall fail to pay the rental due hereunder or any other amount payable to Lessor hereunder; or &amp;. Lessee shall fail to conduct business operations on the Premises and/or shall demonstrate other indicia of abandonment in such a manner that results in Lessors reasonable belief that Lessee has abandoned or vacated the Premises; or Dy: Lessee shall fail to perform any requirements of this Agreement, other than a failure described in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(11)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Lessors Initials @ Page 12 of 28 Lessees Initials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adam(@belle-realty.com 337-288-5411 (cell) 337-769-1554 PO Box 62230 Lafayette, LA 70596 belle-realty.com LESSEE: JORDAN AMANDA, LLC c/o Jordan A. Broussard 2235B HWY 93 Carencro, Louisiana 70520 shoctiqueshoes(@yahoo.com 337-278-8371 Either party may notify the other in writing of any different address for notice purposes. All such notices shall be deemed given on the date of receipt at the applicable address as evidenced by the return receipt and/or delivery confirmation. Lessors Initials ay Page 13 of 28 Lessees Initials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(iit)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The captions used in this Agreement shall have no effect of its interpretation. Lessors Initials VF Page 14 of 28 Lessees Initials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Lessors Initials , Page 15 of 28 Lessees Initials _ B. At Lessors request, Lessee will execute either an estoppel certificate or a three-party agreement certifying such facts and agreeing to such notice provisions and other matters as may reasonably be required. , Section 33.01  Intentionally Omitted Section 35.01  Security Deposit: Lessee has paid Lessor the amount of $2,500.00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 Page 16028 Lessees Initials Lessors Initials IN WITNESS WHEREOF the parties hereto have executed this Agreement the day and year first above. WITNESSES: LESSOR: BELLE REALTY OF LAFAYETTE, LLC, Printed Name: a Louisiana limited liability company By: Printed Name: Adam Abdalla, Authorized Representative WITNESSES: LESSEE: JORDAN AMANDA, LLC, Printed Name: a Louisiana limited lability company By: pS Printed Name: Jordan A. Broussard, Manager Lessors Initials O _ Page 17 of 28 Lessees Initials _ SCHEDULE A BOULEVARD SHOPPING CENTER PROPERTY PLAT SHOWING PREMISES LEASED Lessors Initials 7 : Page 18 of 28 Lessees Initials SCHEDULE B BOULEVARD SHOPPING CENTER PROPERTY SITE PLAN SHOWING COMMON AREA a RI Lessors Initials Page 19 of 28 Lessees Initials SCHEDULE C THE BOULEVARD SHOPPING CENTER PROPERTY RULES AND REGULATIONS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which in the sole judgment of Lessor are necessary for the proper operation of the Premises or the Boulevard Shopping Center (the Shopping Center). All garbage and refuse shall be kept in the kind of container or receptacle specified by Lessor, and shall be placed in the area outside of the Premises prepared for collection in the manner and at the times and places specified by Lessor. No r</t>
  </si>
  <si>
    <t>THE BOULEVARD SHOPPING CENTER - Unit 129</t>
  </si>
  <si>
    <t>712 THE BOULEVARD SHOPPING CENTER LEASE AGREEMENT This Lease Agreement (the Agreement) is entered into as of afelnanes</t>
  </si>
  <si>
    <t>but effective for all purposes as of March 18</t>
  </si>
  <si>
    <t>Hour Infrared Sauna Hot Exercise Studio Featuring Infrared Heat And Virtual Instruction With Ancillary High Intensity Interval Training Sessions And Other Ancillary Purposes Such As The Retail</t>
  </si>
  <si>
    <t>2024-03-01</t>
  </si>
  <si>
    <t>2832.58</t>
  </si>
  <si>
    <t>WHEREAS, Lessee wishes to lease a certain portion of the Boulevard Shopping Center Property from Lessor according to the terms and co</t>
  </si>
  <si>
    <t>HVAC: HVAC) system servicing the Premises, and the Lessee must maintains, at its own expense, for the full term of this Agreement and any renewal or extensions thereof, a monthly maintenance contract with Butcher Air Conditioning for regular routine maintenance to the HVAC systems and components thereof in the Premises.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In discharging the responsibilities hereunder, Lessee shall utilize the services of bonded, licensed contractors to perform all maintenance or repair work to the Premises. Lessee agrees to hire Butcher Air Conditioning, or other agreeable HVAC provider, to perform all maintenance, repairs and replacements of the heating and air conditioning systems and components servicing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DS DS Lessors Initials {i Page 9 of 37 Lessees Initials te | DocuSign Envelope ID: 4F5E21 F8-8A4D-4EFE-89FB-AB209F43B712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etc.,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Ds AK IR. Lessors Initials a Page 10 of 37 Lessees Initials DocuSign Envelope ID: 4F5E21F8-8A4D-4EFE-89FB-AB209F43B712 require, in its sole discretion, that Lessee cooperate with Lessor and do all things necessary to allow such utilities to be transferred into Lessors name prior to disconnection. Section 12.01 - Signs: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In addition, Lessee must obtain prior written approval from Lessor of all Lessee exterior signage. Should Lessee choose to place a sign under the Premises walkway, it must be erected by Hubbard Sign Company and paid for by the Lessee.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B. Doing any necessary maintenance and to make any restoration or repair to the Premises or the building and other improvements in which the Premises is located that Lessor has the right or obligation to perform. C. Posting for rent or for lease signs during the last three (3) months of the term of this Agreement or any renewal thereof. Lessors Initials Lh Page 11 of 37 Lessees Initials DocuSign Envelope ID: 4F5E21F8-8A4D-4EFE-89FB-AB209F43B712 Section 14.01 Indemnity: Lessee shall hold Lessor harmless from all damages arising out of any loss, theft, injury or damage to any person or property (as the case may be) occurring in, on, or about the Premises except for damages resulting from the gtoss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officers, directors, shareholders, members, partners, tepresentatives,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 seq., and any applicable State or federal law or regulation. The term shall also be interpreted to include but not be limited to any substance which after release into the environment and upon exposute, ingestion, inhalation or assimilation, either directly from the environment or directly by ingestion through food chains will or may reasonably be anticipated to cause death, disease, behavior abnormalities, cancer and/or genetic abnormalities, and oil and petroleum based derivatives. Km |OUR Lessors Initials Page 12 of 37 Lessees Initials DocuSign Envelope ID: 4F5E21F8-8A4D-4EFE-89FB-AB209F43B712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$1 000,000.00 for each occurrence with a $1,000,000.00 general ageregate,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Lessee's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is made for such loss, the Lessor and Lessee hereby mutually hold harmless and release each other from liability and waive all right of subrogation against cach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Lessce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ace Lessors Initials -_ Page 13 of 37 Lessees Initials DocuSign Envelope ID: 4F5E21F8-8A4D-4EFE-89FB-AB209F43B712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for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Lessce's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Lessee has abandoned or vacated the Premises; or D. Lessee shall fail to perform any requirements of this Agreement, other than a failure described in subsection 18.01(B) or 18.01 (C) above, and such failure shall continue for five (5) days after written notice of such failure from Lessor delivered to Lessee. mbm |OUR Lessors Initials Ly Page 14 of 37 Lessees Initials DocuSign Envelope ID: 4F5E21F8-8A4D-4EFE-89FB-AB209F43B712 Upon the occurrence of any one or more of such events of default, at the option of Lessor, (i) this Agreement shall cease and terminate immediately and Lessee shall quit and surrender the Premises to Lessor, or (ii)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4.01 hereof for each month or part thereof that the Lessee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c/o Adam Abdalla Belle Realty of Lafayette, LLC tii c ees 7 Page 15 of 37 Lessees Initials AK UR. Lessors Initials DocuSign Envelope ID: 4F5E21F8-8A4D-4EFE-89FB-AB209F43B712 adam@belle-realty.com 337-288-5411 (cell) 337-769-1554 PO Box 62230 Lafayette, LA 70596 belle-realty.com LESSEE:  Sntity Alexis Richai&amp;ennis Richard address Either party may notify the other in writing of any different address for notice purposes. All such notices shall be deemed given on the date of receipt at the applicable address as evidenced by the return receipt and/or delivery confirmation. Section 22.01 - Common Area, Non-Exclusive Cross Use Easement and Parking: Lessor shall have the sole and exclusive control of the Common Area as well as the right to make changes to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(1)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Lessors Initials Page 16 of 37 Lessees Initials k DocuSign Envelope ID: 4F5E21F8-8A4D-4EFE-89FB-AB209F43B712 No delay or omission by either party in exercising any tight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herein contained.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patties shall execute a memorandum of lease in recordable form. Section 28.01 - Captions: The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teasonable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recover against the other party in addition to the costs allowed by law, such sum as the coutt may judge to be a reasonable attorney's fee. Lessors Initials j Page 17 of 37 Lessees Initials DocuSign Envelope ID: 4F5E21F8-8A4D-4EFE-89FB-AB209F43B712 Section 31.01 - Option to Renew: Provided that Lessee is not in default in the performance of this Agreement, Lessee shall have the option to renew the lease for four (4) additional term of five (5) years each, commencing on the next day following the expiration of the Initial Term. All of the terms and conditions of this Agreement shall apply during the renewal term except that the Monthly Rental Amount shall be negotiated by the Lessor and the Lessee, however, Base Rent shall not increase more than 5% in each option period. The option to renew shall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encumbers or affects the building of which the Premises form a part and/or the leasehold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ot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Franchisor Documentation: Attached as Exhibit F, is the Franchisor Rider To Lease and is hereby incorporated into and made a part of this Agreement. Section 35.01  Security Deposit: Lessee has paid Lessor the amount of $2,832.58 (the Security Deposit) as security for its performance of the terms hereof by Lessee. Provided Lessee is not in default of this Agreement, the Security Deposit shall be Lessors Initials is Page 18 of 37 Lessees Initials DocuSign Envelope ID: 4F5E21F8-8A4D-4EFE-89FB-AB209F43B712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herein are confidential information and neither the Lessor nor the Lessee shall make available to the public or any person not at party to this Agreement, by written or oral communication, the terms, conditions or substance of this Agreement or the lease set forth herein. [SIGNATURES APPEAR ON THE FOLLOWING PAGES] List of Schedules: Schedule A  Plat of Leased Premises Schedule B  Site Plan of Common Area Schedule C  Rules &amp; Regulations Schedule D  Design Criteria for Lessee Signs Schedule E  Rider to Lease . , 7ps eS 7 Lessors Initials Page 19 of 37 Lessees Initials | Ak HR DocuSign Envelope ID: 4F5E21F8-8A4D-4EFE-89FB-AB209F43B712 IN WITNESS WHEREOF the parties hereto have executed this Agreement the day and year first above. Printed Name: tpnon: CRlodal\\ Adam Abdalla, Authorized Representative WITNESSES: LESSEE: entity i La WWE ZWTS  Printed Name: DocuSigned by: 2, by: ne (Wt tard Pm iS B513C810977446 E4C04313EB964E2 .. Printed Name: | fl HR Lessors Initials LS Page 2() of 37 Lessees Initials k . DocuSign Envelope ID: 4F5E21F8-8A4D-4EFE-89FB-AB209F43B712 SCHEDULE A BOULEVARD SHOPPING CENTER PROPERTY PLAT SHOWING PREMISES LEASED OOOO nh ns aa eee rmtz Lessors Initials Page 21 of 37 Lessees Initials AK DocuSign Envelope ID: 4F5E21F8-8A4D-4EFE-89FB-AB209F43B712 SCHEDULE B BOULEVARD SHOPPING CENTER PROPERTY SITE PLAN SHOWING COMMON AREA tag af qo fu ind : He a ee  an Lessors Initials Page 22 of 37 Lessees Initials AK OR DocuSign Envelope ID: 4F5E21F8-8A4D-4EFE-89FB-AB209F43B712 SCHEDULE C THE BOULEVARD SHOPPING CENTER PROPERTY RULES AND REGULATIONS eee All loading and unloading of goods shall be done only at such times, in the areas, and through the entrances, designated for such purposes by Lessor. The delivery or shipping of merchandise, supplies, and fixtures to and from the Premises shall be subject to such rules and regulations, which in the sole judgment of Lessor are necessary for the prope</t>
  </si>
  <si>
    <t>THE BOULEVARD SHOPPING CENTER - Unit 135A</t>
  </si>
  <si>
    <t>7701 W Congress St.</t>
  </si>
  <si>
    <t>Duson</t>
  </si>
  <si>
    <t>70529</t>
  </si>
  <si>
    <t>G Products And General Office</t>
  </si>
  <si>
    <t>2025-01-01</t>
  </si>
  <si>
    <t>1580.0</t>
  </si>
  <si>
    <t>C. WOLF BARBER &amp; SHOP LLC</t>
  </si>
  <si>
    <t>(268) 261-0169</t>
  </si>
  <si>
    <t xml:space="preserve">HVAC: HVAC) system servicing the Premises provided that (i) the Lessee shall pay the first $1,000.00 for cach repair visit and the first $1,000.00 toward the replacement cost of the HVAC system or any component thereof, and (ii) the Lessee maintains, at its own expense, for the full term of this Agreement and any renewal or extensions thereof, a monthly maintenance contract with Butcher Air Conditioning for regular routine maintenance to the HVAC systems and components thereof in the Premises. Further provided, in the event it is determined by the HVAC maintenance provider that the HVAC systems or any component thereof must be replaced and such replacement is made within fifteen (15) days of a repair visit made by such HVAC maintenance provider (Preceding Repair Visit) (not including a routine maintenance visit pursuant to a monthly maintenance contract), then the amount paid by the Lessee toward the cost of the Preceding Repair Visit shall be credited toward the Lessees obligation to pay the first $1,000.00 toward the replacement cost of the HVAC system. Lessee further agrees to maintain the Premises in clean and healthful condition and to comply with all laws, ordinances, orders, rules and regulations (state, federal, municipal and any other agencies or bodies having any jurisdiction thereof) with respect to the use, condition or occupancy of the Premises. Lessee shall be responsible for contracting for its own waste collection and disposal services including _ SSSSSSSSSSSSSSSSeSSSSFSFeFeFesef Lessors Initials Lessees Initials Page 8 of 27 dumpsters. In discharging the responsibilities hereunder, Lessee shall utilize the services of bonded, licensed contractors to perform all maintenance or repair work to the Premises. Section 10.01 - Alterations: Lessee shall not make any additions, improvements or alterations, structural or otherwise, to the Premises without Lessors written consent, which consent shall be in the sole discretion of the Lessor. In making any improvements, additions or alterations that require the consent of Lessor, Lessee, after obtaining Lessors consent, shall comply with the following: A. The improvements or alterations shall not be commenced until seven (7) days after Lessor has received written notice from Lessee stating the date the alternations are to commence and Lessor has consented to same. B. The improvements or alterations shall be in conformance with all applicable local, state or federal laws and regulations. Lessee shall have the duty, only if Lessor so requests in writing, to remove from the Premises before the expiration of the term, or within fifteen (15) days after the expiration of the term, any additions, improvements or alterations Lessee has made to the Premises, so long as the removal will not cause structural damage to the Premises, and Lessee, at its cost, shall promptly restore any damage caused by the removal and return the Premises to the condition it was in at the beginning of the Initial Term. The Lessee shall not cause or permit any mechanics liens to be filed against the Premises, and Lessee shall indemnify, hold harmless, and defend the Lessor from and against any and all such liens. Moreover, any additions, alterations and improvements made by Lessee, with or without consent of the Lessor, no matter how attached to the Premises, shall remain the property of the Lessor unless otherwise stipulated herein, and Lessee expressly waives any right to compensation or reimbursement for any such additions, alterations or improvements which may be made on the Premises. Notwithstanding the above, however, Lessee may remove from the Premises its office supplies, movable office furniture and movable equipment not attached to the Premises provided (a) such removal is made prior to the termination of the term of this Agreement; (b) Lessee is not in default of any obligation or covenant under this Agreement at the time of such removal: and (c) Lessee promptly repairs all damage, no matter how slight, caused by the installation, use or removal of such furniture or equipment. Furthermore, Lessee, or any of its hired architects, engineers, contractors, subcontractors or employees, shall not remove or discard any thing or any item, furniture, fixture, flooring, movable or immovable, ete., without first consulting the Lessor and obtaining Lessors written permission. Section 11.01 - Utilities and Janitorial Services: Lessee shall pay before same becomes delinquent, all utility and service charges for utilities or services furnished to the Premises or used by the Premises or the Lessee, including, without limitation, electricity, gas, water, telephone service and trash collection. Lessee shall be responsible for maintaining the Premises in accordance with the terms hereof and shall be responsible for the payment of any costs or expense with respect to any janitorial services provided to the Premises, and Lessee shall be responsible for the trash or refuse disposal Lessors Initials . Lessees Initials Page 9 of 27 services to the trash or refuse generated by or related to the Premises. At the commencement of the Initial Term, Lessee shall immediately transfer electric utility service from the name of Lessor to the name of Lessee. If the Lessee fails to immediately transfer electric utility service to the name of Lessee, Lessor may, at its discretion, (i) direct the electric utility provider to discontinue service to the Premises in Lessors name, or (ii) make electric utility payments on behalf of Lessee and require that Lessee remit to Lessor full reimbursement for such payments together with a $100.00 administrative fee for each payment required to be made by Lessor. Lessee shall not disconnect the electricity, gas or water at any time during the term of this Agreement, including in anticipation of the termination of the tenancy created herein. Upon termination of the term of this Agreement, or in anticipation thereof, Lessee shall give Lessor reasonable written notice of its intent to disconnect electricity, gas and/or water service. Upon receipt of written notice to disconnect, Lessor may require, in its sole discretion, that Lessee cooperate with Lessor and do all things necessary to allow such utilities to be transferred into Lessors name prior to disconnection. Section 12.01 - Signs: Notwithstanding anything contained in the Agreement to the contrary, Lessee may place its current hanging sign outside the Premises at a location to be agreed upon by the Lessor and Lessee. In addition, Lessee Exterior signage affixed to the building will be affixed to the brick facade at the location designated by the Lessor and shall conform to the dimensions discussed in the mockup from AAA Sign Company, a copy of which is attached hereto as Schedule D1. Lessee, at its cost, shall have the right to place, construct and maintain an exterior sign on the Premises advertising its business conducted on the Premises. Such sign shall be located on the front exterior wall of the Premises above the front canopy extending from the front wall. Lessor shall have the right to approve such signs prior to their placement on the Premises, which approval shall not be unreasonably withheld, and any sign that Lessee has the right to place, construct and maintain shall comply with all applicable laws or regulations including, but not limited to the rules and regulations attached hereto as Schedule C and the design criteria attached hereto as Schedule D. Upon termination of the tenancy herein created, Lessee shall remove any sign so placed and repair any damage or injury to the Premises or the exterior thereof caused by such removal, and Lessee shall retain the contractor designated by Lessor to repair the damage caused by such removal. In the event the Lessee does not remove its sign as provided herein, then the Lessor shall have the right to remove the sign or signs and the Lessee shall be responsible for the payment of such removal and such cost or expense shall be considered as rent due hereunder. Tn addition, Lessee must obtain prior written approval from Lessor of all Lessee exterior signage. Should Lessee choose to place a sign under the Premises walkway, Lessee must obtain prior written approval from Lessor. Section 13.01 - Access: Lessor and its authorized representatives shall have the right after twelve (12) hours notice to Lessee, to enter the during Lessees business hours and at all other reasonable times with such prior notice for the purpose of: A. Determining whether the Premises is in good condition and whether Lessee is complying with its obligations under this Agreement; Lessors Initials _ Lessees Initials C &gt; Page 10 of 27 B. Doing any necessary maintenance and to make any restoration or repair to the Premises or the building and other improvements in which the Premises is located that Lessor has the right or obligation to perform. Ls Posting for rent or for lease signs during the last three (3) months of the term of this Agreement or any renewal thereof. Section 14.01 Indemnity: Lessee shall hold Lessor harmless from all damages arising out of any loss, theft, injury or damage to any person or property (as the case may be) occurring in, on, or about the Premises except for damages resulting from the gross negligence or willful conduct of Lessor. Lessee shall be liable to Lessor for damages resulting from the acts or omissions of Lessee, its employees, officers, directors, shareholders, members, partners, representatives, agents, Customers, guests, invitees and licensees or of Lessee's, its employees, ofticers, directors, shareholders, members, partners, representatives, agents, Customers, guests, invitees and licensees negligence, gross negligence or willful conduct. Lessees obligation under this paragraph to indemnify and hold the Lessor harmless shall be limited to the sum that exceeds the amount of insurance proceeds, if any, received by the Lessor. The indemnitee shall give prompt notice to the indemunitor of any claim to which this indemnity applies. Section 14.02 - Hazardous Substances: Lessee warrants and covenants that neither the Lessee, nor its employees, agents, officers, shareholders, partners, members, invitees, guests or customers shall use, deposit, store, transport, locate, bring on to or cause to be brought on to the Premises any Hazardous Substances and further warrants and covenants that neither Lessee nor employees, agents, officers, shareholders, partners, members, invitees, guests or its customers shall release, discharge, spill, dispose, emit or permit the breakage of, Hazardous Substances in, on or under the Premises. Lessee agrees to indemnify and hold harmless Lessor from any and all claims, damages, fines, judgements, penalties, costs, liabilities, or losses (including, without limitation, any and all sums paid for settlement of claims, attorneys! fees, consultant and expert fees) arising during or after the term of this Agreement or any renewal hereof from or in connection with the presence or suspected presence of Hazardous Substances in or on the Premises, which Hazardous Substances were brought onto the Premises during the term of this Agreement or any renewal thereof by the Lessee, its agents, officers, representatives, employees, invitees or licensees or become deposited or otherwise become present on the Premises during the term of this Agreement or any renewal thereof. Without limiting of the foregoing, this indemnification shall include any and all costs incurred due to any investigation of the site or any cleanup, removal, or restoration mandated by a federal, state, or local agency or political subdivision. For purposes of this section, the term "Hazardous Substances" shall be interpreted broadly to include, but not be limited to, substances designated as hazardous under the Comprehensive Environmental Response, Compensation and Liability Act of 1980, as amended, 42 U.S.C. 9601, et seq., the Resource Conservation and Recovery Act, 42 U.S.C. 2201, etseq., and any applicable State or federal law or regulation. he term shall also Lessors Initials _ Lessees Initials ( 2 &gt; ; Page 11 of 27 be interpreted to include but not be limited to any substance which after release into the environment and upon exposure, ingestion, inhalation or assimilation, cither directly from the environment or directly by ingestion through food chains will or may reasonably be anticipated to cause death, disease, behavior abnormalities, cancer and/or genetic abnormalities, and oil and petroleum based derivatives. The provisions of this section shall be in addition to any other obligations and liabilities Lessee may have to Lessor at law or in equity and shall survive the termination of this Agreement. Section 15.01 - Insurance: Lessee, at its cost, shall maintain comprehensive general liability insurance in a minimum amount of $1,000,000.00 for each occurrence with a $1,000,000.00 general aggregate, including $1,000,000.00 personal and advertising coverage, $100,000.00 in fire legal liability, and $5,000.00 in medical payments, insuring against all liability of Lessee arising out of and in connection with Lessee's use or occupancy of the Premises. All such insurance policies shall name the Lessor as an additional insured. At the Commencement Date and on each anniversary date of the Commencement Date, Lessee shall supply to Lessor a certificate that such insurance is in force and the requisite premiums have been paid. Lessce's insurance policies and coverage shall be endorsed to apply on a primary basis. It is further provided that Lessee's insurance policies and coverage shall contain (either directly in the policy or by endorsement) a provision that provides that the Lessor shall be entitled to thirty (30) days prior written notice of cancellation and/or non renewal of such policy or coverage of the Lessee. Lessor shall maintain fire, casualty and extended coverage insurance on the Boulevard Shopping Center Property and improvements thereon, and upon written request from the Lessee, the Lessor shall supply to Lessee a certificate establishing that such insurance is in force and the requisite premiums have been paid. Section 16.01 - Waiver of Subrogation: To the extent that a loss is covered by insurance in force and recovery 1s made for such loss, the Lessor and Lessee hereby mutually hold harmless and release each other from liability and waive all right of subrogation against each other for any loss or damage to their respective properties. Each party shall cause each insurance policy obtained by it to provide that the insurance company waives all right of recovery by way of subrogation against either party in connection with any liabilities or damage covered by any policy. Section 17.01 - Damage or Destruction: If the Premises is so damaged or destroyed by fire, flood, earthquake, the elements, casualty, war, riot, public disorder, acts authorized or unauthorized by the government (including a condemnation proceeding) or any other cause or happening so as to render the Premises unusable for Lessee's operations, as determined by the Lessor acting in good faith and in a commercially reasonable manner, this Agreement shall terminate immediately, and any unearned rent paid by Lessee shall be refunded without demand, setoff or reduction as of the date of such destruction or damage. However, there shall be no termination and no refund of unearned rent, except to the extent provided for or compensated for by Lessors insurance, paid by Lessee, if the damage is caused by the negligence, willful misconduct or gross negligence of Lessee, its employees, officers, directors, Lessors Initials L Lessees Initials LS Page 12 of 27 shareholders, members, partners, representatives, agents, customers, guests, invitees or licensees. If the Premises is partially damaged or rendered partially unusable by fire or other casualty, as set forth above in the immediately preceding paragraph, Lessee shall give Lessor written notice of the damage and if repairs are not undertaken by the Lessee within thirty (30) days from the date of such notice to Lessor, Lessor may terminate this Agreement by giving written notice to the Lessee. If Lessor elects not to terminate, this Agreement shall continue in full force and effect and the damages to the Premises shall be repaired by and at the expenses of Lessee, except to the extent provided for or compensated for by Lessors insurance. Moreover, until such repair is substantially completed so that full use and occupancy of the Premises by Lessee is possible, the rent shall be apportioned according to the portion of the Premises which remains usable. If such repairs are not completed within one hundred eighty (180) days from the date of written notice of the casualty to Lessor, the Lessor may terminate this Agreement by the giving of written notice to the other party within ten (10) days of the expiration of the 180-day period. If the building in which the Premises is located, or any portion thereof, provided such damaged portion contains all or a portion of the Premises, is partially damaged or rendered partially unusable by fire or other casualty as set forth above, as determined by the Lessor acting in good faith and in a commercially reasonable manner, Lessor shall undertake the repair of the building and the Premises (except if such damage is caused by the negligence, willful misconduct or the gross negligence of the Lessee, its employees, officers, directors, shareholders, members, partners, representatives, agents, customers, guests, invitees, or licensees, in which case the Lessee shall be responsible for the repair of the building and the Premises, except to the extent provided tor or compensated for by Lessors insurance) within thirty (30) days from the date of the damages. This Agreement shall continue in full force and effect during the period of the repair and/or until this Agreement is terminated as provided herein. Moreover, until such repair is substantially completed so that full use and occupancy of the Premises by the Lessee is possible, the rent shall be apportioned according to the portion of the Premises remaining usable. If such repairs are not completed within one hundred eighty (180) days from the date that the repair work is began, either party may terminate this Agreement by giving written notice to the other party within ten (10) days of the expiration of the 180 day period. Section 18.01  Lessees Default: The following events shall be deemed to be events of default by Lessee under this Agreement: A. Lessee shall be adjudged bankrupt, or shall file a voluntary petition in bankruptcy or make a general assignment for the benefit of Lessce's creditors, or a receiver by appointed for Lessee's property, or if execution be issued against Lessee's interest in this Agreement, or if Lessee's interest in this Agreement shall by operation of law pass to any person other than Lessee; or B. Lessee shall fail to pay the rental due hereunder or any other amount payable to Lessor hereunder; or C. Lessee shall fail to conduct business operations on the Premises and/or shall demonstrate other indicia of abandonment in such a manner that results in Lessors reasonable belief that Lessec has abandoned or vacated the Premises; or D. Lessee shall fail to perform any requirements of this A eement, other than a failure described in Lessors Initials Lessees Initials Page 13 of 27 subsection 18.01(B) or 18.01 (C) above, and such failure shall continue for five (5) days after written notice of such failure from Lessor delivered to Lessee. Upon the occurrence of any one or more of such events of default, at the option of Lessor, (i) this Agreement shall cease and terminate immediately and Lessee shall quit and surrender the Premises to Lessor, or (it) Lessor may pursue any remedy available to Lessor, whether by law or contract, or in equity, including without limitation the repossession of the Premises by Lessor, in which event Lessee shall be liable for all rent payable through the date of repossession. If this Agreement shall have been terminated by Lessor pursuant to this Section 18.01, Lessor may at any time thereafter resume possession of the Premises by any lawful means, and remove Lessee and Lessees property therefrom. Time is of the essence with respect to all matters described in this Section 18.01. Section 19.01  Lessors Default: Lessor shall be in default of this Agreement if it fails or refuses to perform any provision of this Agreement that it is obligated to perform if the failure to perform is not cured within thirty (30) days after written notice of the default has been given by Lessee to Lessor. If the default cannot reasonably be cured within thirty (30) days, Lessor shall not be in default of this Agreement if Lessor commences to cure the default within the thirty- day period and in good faith continues to cure the default. In the event the Lessor fails to cure a default as provided hereinabove and the continuance of such default results in the interruption of the Lessee's peaceable enjoyment of the Premises, then the Lessee shall be entitled to the abatement of the monthly rent payable under this Agreement and the amount of such abatement shall be in the same proportion as the amount of the Premises rendered unusable by Lessor's default is to the totality of the Premises. Section 20.01 - Surrender of Premises: Upon termination of this Agreement by lapse of time or otherwise, Lessee shall immediately surrender the Premises in as good condition as it was in at the beginning of the Initial Term, ordinary wear and tear and alterations, changes and additions made in compliance with this Agreement, acts of God, and other casualty excepted. In the event the Lessee retains possession of the Premises without exercising its option to renew in accordance with the terms of this Agreement and after the termination date of this Agreement, then the Lessee shall pay to the Lessor a monthly rental amount equal to 200% of the monthly rental amount set forth in Section 4 hereof for each month or part thereof that the Lessce retains possession of the Premises after the termination date of this Agreement. Section 21.01 - Notice: Any notice, demand, request, or consent that either party describes or is required to be given hereunder shall be in writing and shall be deemed sufficient if sent by United States first class mail, return receipt requested, Federal Express, or UPS: LESSOR: BELLE REALTY OF LAFAYETTE, L.L.C. Lessors Initials 7 Lessees Initials ( 2 Page 14 of 27 PO BOX 62230 Lafayette, Louisiana 70596 adam@belle-realty.com LESSEE: C WOLF BARBER &amp; SHOP LLC, 7701 W Congress St. Duson, Louisiana 70529 Either party may notify the other in writing of any different address for notice purposes. All such notices shall be deemed given on the date of reccipt at the applicable address as evidenced by the return receipt and/or delivery confirmation. Section 22.01 - Common Area, Non-Exclusive Cross Use Easement and Parking: Lessor shall have the sole and exclusive control of the Common Area as well as the right to make changes ta the Common Area. However, notwithstanding the foregoing, Lessor shall not be responsible for any harm or damage to the Lessee, its offices, employees, shareholders, agents or invitees as a result of the use by any person or persons of the Common Area. Lessor's rights with respect to the Common Area shall include, but not be limited to, the right to (i) restrict the use of the Common Area by unauthorized persons (ii) utilize from time to time any portion of the Common Area for promotional and related matters, (iii) temporarily close any portion of the Common Area for repairs, renovations, alterations or otherwise (iv) limit the activities or uses of the Common Area by the Lessee, its agents, invitees, and employees. Each lessee of the Boulevard Shopping Center Property shall have a non-exclusive right to use and enjoy the Common Area, subject to the provisions contained in this Agreement. Provided however, in no event shall there be any overnight parking or storage of any boats, automobiles, trucks, recreational vehicles, campers or trucks larger than those having six wheels on the Boulevard Shopping Center Property. In addition, no lessee shall perform or permit to be performed any maintenance on any vehicles in the Common Area. All delivery vehicles owned and operated by any lessee in connection with its business located in the Boulevard Shopping Center shall be parked at all times, during business and non-business hours in the rear of the lessees leased premises. Section 23.01 - Interpretation: This Agreement shall be construed and interpreted in accordance with the laws of the State of Louisiana. Section 24.01 - Waiver: No delay or omission by either party in exercising any right occurring upon any noncompliance or default by the other party with respect to any of the terms hereof shall impair any such or be construed to be waiver thereof. A waiver by either party of any of the covenants and agreements to be performed by the other shall not be construed to be a waiver of any succeeding breach thereof or of any other covenants or agreements Lessors Initials 3 Lessees Initials ay Page 15 of 27 Section 25.01 - Heirs and Successors: Subject to the provisions hereof pertaining to assignment and subletting, the covenants and agreements of this Agreement shall be binding upon the heirs, legal representatives, successors and assigns of the parties hereto. Section 26.01 - Integrated Agreement; Modification: This Agreement contains all of the agreements of the parties and cannot be amended or modified except by a written agreement signed by the Lessor and the Lessee. Section 27.01 - Recordation: This Agreement shall not be recorded, except that if either party requests the other party to do so, the parties shall execute a memorandum of lease in recordable form. Section 28.01 - Captions: Uhe captions used in this Agreement shall have no effect of its interpretation. Section 29.01 - Severability: The unenforceability, invalidity, or illegality of any provision of this Agreement shall not render the other provisions unenforceable, invalid or illegal. Section 30.01 - Attorney's Costs: If by reason of any default on the part of Lessee, Lessor retains an attorney to enforce the provisions of this Agreement and/or to notify Lessee of its default, Lessor shall be liable to Lessee for Lessors reasonable attorneys fees and costs associated with such enforcement and/or notification and shall pay such fees and/or costs, including the cost of delivering notice of default, within thirty (30) days of receipt of written notice of the amount of such attorneys fees and/or costs incurred by Lessor. If by reason of any default on the part of Lessee, Lessor shall bring suit to recover any rent due hereunder, or for breach of any provision of this Agreement or to recover possession of the Premises, or if Lessee shall bring any action for any relief against Lessor, declaratory or otherwise, arising out of this Agreement, the prevailing party shall have and recovet against the other party in addition to the costs allowed by law, such sum as the court may judge to be a reasonable attorney's fee. Section 31.01 - Option to Renew: Provided that Lessee is not in default in the performance of this Agreement, Lessee shall have the option to renew the lease for one (1) additional term of 5 years, commencing on the next day following the expiration of the Initial Term. All of the terms and conditions of this Agreement shall apply during the renewal term except c ep new she Qu Lessors Initials Lessees Initials C , Page 16 of 27 be exercised by written notice given to Lessor by Lessee not less than sixty (60) days prior to the expiration of the Initial Term. If notice is not given in the manner provided herein and within the time specified, this option to renew shall terminate. Section 32.01  Subordination: A. This Agreement is subject and subordinate to any mortgage which now or hereafter encumbets or affects the building of which the Premises forma part and/or the leaschold interest or fee simple interest of the Lessor in the land upon which the building is situated, and to all renewals, modifications, consolidations, replacements and extensions thereof. This clause shall be self-operative and no further instrument of subordination need by required by any mortgagee of Lessor. In confirmation of such subordination, however, Lessee shall, at Lessors request, promptly execute any appropriate certificate or instrument that Lessor may request. Lessee hereby constitutes and appoints Lessor as Lessees attorney in fact to execute any such certificate or instrument for and on behalf of Lessee. In the event of the enforcement by the holder of any such instrument of the remedies provided for by law or by such mortgage, Lessee will, upon request of any person or party succeeding to the interest of Lessor as a result of such enforcement, automatically become the lessee of such successor in interest without change in the terms or other provisions of this Agreement. Upon request by such successor in interest, Lessee shall execute and deliver an instrument or instruments confirming the attornment herein provided for. B. At Lessors request, Lessee will execute either an estoppel certificate or a three-party agreement certifying such facts and agreeing to such notice provisions and other matters as may reasonably be required. Section 33.01  Lien For Payment of Rent: In consideration of mutual benefits arising by virtue of this Agreement, Lessee does hereby mortgage unto Lessor all property of Lessee now or hereafter placed in or upon the Premises (except such part of property or merchandise as may be exchanged, replaced or sold from time to time in the ordinary course of operations or trade), and such property is hereby subjected to a lien in favor of Lessor and shall be and remain subject to such lien of Lessor herein. Said lien shall be in addition to and cumulative of the Lessors lien provided by law. Notwithstanding the foregoing, the lien created in this paragraph shall be subordinate to any lien or mortgage granted by Lessee to the seller of property or equipment located on the Premises or to a lender who lends all or a portion of the purchase money for any property or equipment placed on the Premises by Lessee. Section 34.01  Lessees Right to Early Termination 1. The Lessee may terminate this Agreement during the 1 three months of the Initial l'erm by providing the Lessor with written notice of no less than 15 days prior to the desired termination date. 2. Termination Fee: The Lessee agrees to pay a termination fee equivalent to one (1) months rent as compensation for early termination. This fee must be paid in full at the time the notice is given. Lessors Initials 7 Lessees Initials Page 17 of 27 3. Conditions for Exercise: The Lessee must be current on all rent payments at the time of providing notice. The property must be left in good condition, subject to normal wear and tear, and the Lessee must comply with any inspection requirements. 4. Notice Requirement: The Lessee must submit a formal written notice to the Lessor specitying the termination date, which must be no sooner than 15 days from the date of notice. Section 35.01  Security Deposit: Lessee has paid Lessor at the execution hereof the sum of ONE THOUSAND FIVE HUNDRED EIGHTY DOLLARS AND ZERO CENTS ($1,580.00) (the Security Deposit) as security for its performance of the terms hereof by Lessee. Provided Lessee is not in default of this Agreement, the Security Deposit shall be returned to Lessee within thirty (30) days after termination of this Agreement if, based on a good faith determination by Lessor, Lessee has fully discharged its obligations to Lessor pursuant to this Agreement in full. The Security Deposit may not be used by Lessee as the last months rent at the termination of this Agreement. Section 36.01  Rules and Regulations: The Lessee agrees that during the initial term of this Agreement and any renewal thereof, to fully abide by and comply with the Rules and Regulations of the Boulevard Shopping Center attached hereto as Schedule C, as the same may be amended from time to time by the Lessor. Section 37.01  Design Criteria For Lessee Signs: The Lessee agrees that any sign placed on or otherwise affixed to the Premises or to the Shopping Center advertising the Lessees business shall be in strict accordance with this Agreement and Schedule D attached hereto. Section 38.01  Confidentiality: The Lessor and Lessee agree that the terms and conditions set forth </t>
  </si>
  <si>
    <t>TENANT</t>
  </si>
  <si>
    <t>LOGO</t>
  </si>
  <si>
    <t>Upstream Rehabilitatin</t>
  </si>
  <si>
    <t>Final Pass Rule</t>
  </si>
  <si>
    <t>Applied</t>
  </si>
  <si>
    <t>Primary source of truth</t>
  </si>
  <si>
    <t>User-attached rent roll from review of actual signed leases</t>
  </si>
  <si>
    <t>DoorLoop treatment</t>
  </si>
  <si>
    <t>DoorLoop dates are ignored. DoorLoop remains a reference file only.</t>
  </si>
  <si>
    <t>Unit splits</t>
  </si>
  <si>
    <t>Physical units stay separated using All Units. Combined leases retain group-level economics.</t>
  </si>
  <si>
    <t>Combined unit billing</t>
  </si>
  <si>
    <t>Do not treat allocated unit economics as separate legal obligations unless lease documents say so.</t>
  </si>
  <si>
    <t>User decision applied</t>
  </si>
  <si>
    <t>Unit 145 Upstream Rehabilitation signed lease confirmed. $19.95/SF applied.</t>
  </si>
  <si>
    <t>Unit 121 Magnolia Salon executed lease confirmed.</t>
  </si>
  <si>
    <t>Cat Clinic renewal confirmed for 3 years. Expiration updated to 2/28/2029.</t>
  </si>
  <si>
    <t>Critical issue 1</t>
  </si>
  <si>
    <t>Unit 103 SF increased by 3 SF. Physical total now reconciles to 62,810 SF.</t>
  </si>
  <si>
    <t>Critical issue 2</t>
  </si>
  <si>
    <t>Unit 135B Belle Realty confirmed owner occupied.</t>
  </si>
  <si>
    <t>Created sheets</t>
  </si>
  <si>
    <t>SIGNED_RENT_ROLL_FINAL, FINAL_UNIT_SOT, DECISION_LOG_FINAL, QC_SUMMARY_FINAL, IMPORT_STAGING_REFERENCE</t>
  </si>
  <si>
    <t>UNIT_GROUP</t>
  </si>
  <si>
    <t>SQFT</t>
  </si>
  <si>
    <t>BASE_PSF</t>
  </si>
  <si>
    <t>CAM_PSF</t>
  </si>
  <si>
    <t>TAX_PSF</t>
  </si>
  <si>
    <t>INS_PSF</t>
  </si>
  <si>
    <t>TOTAL_PSF_STATED</t>
  </si>
  <si>
    <t>TOTAL_PSF_CALC</t>
  </si>
  <si>
    <t>TOTAL_PSF_DIFF</t>
  </si>
  <si>
    <t>MONTHLY_STATED</t>
  </si>
  <si>
    <t>MONTHLY_CALC</t>
  </si>
  <si>
    <t>MONTHLY_DIFF</t>
  </si>
  <si>
    <t>EXPIRATION</t>
  </si>
  <si>
    <t>FINAL_STATUS</t>
  </si>
  <si>
    <t>SOURCE_AUTHORITY</t>
  </si>
  <si>
    <t>User-attached rent roll from review of actual signed leases; Doorloop dates ignored per user.</t>
  </si>
  <si>
    <t>Unit 103 SF increased by 3 SF per owner correction. Monthly stated rent retained from signed rent roll until/if billing is re-rated to corrected SF.</t>
  </si>
  <si>
    <t>User-attached signed rent roll plus direct owner corrections; DoorLoop dates ignored.</t>
  </si>
  <si>
    <t>Owner confirmed Cat Clinic renewed for 3 years. Expiration updated from 2/28/2026 to 2/28/2029.</t>
  </si>
  <si>
    <t>Vacant</t>
  </si>
  <si>
    <t>NA</t>
  </si>
  <si>
    <t>Owner confirmed Unit 135B is owner occupied. Zero rent/NA expiration intentionally retained.</t>
  </si>
  <si>
    <t>Owner confirmed Upstream signed lease and $19.95/SF. Base PSF inferred to $14.95 assuming CAM $2.10, tax $0.95, insurance $1.95 remain unchanged.</t>
  </si>
  <si>
    <t>TOTAL / QC</t>
  </si>
  <si>
    <t>TENANT_FINAL</t>
  </si>
  <si>
    <t>UNIT_IN_GROUP_PCT</t>
  </si>
  <si>
    <t>SPLIT_FROM_COMBINED_LEASE</t>
  </si>
  <si>
    <t>LEASE_STATUS_FINAL</t>
  </si>
  <si>
    <t>TOTAL_PSF</t>
  </si>
  <si>
    <t>GROUP_MONTHLY_RENT_STATED</t>
  </si>
  <si>
    <t>GROUP_MONTHLY_RENT_CALC</t>
  </si>
  <si>
    <t>UNIT_ALLOCATED_MONTHLY_REPORTING</t>
  </si>
  <si>
    <t>RENT_ROLL_SOURCE</t>
  </si>
  <si>
    <t>DOORLOOP_DATES_IGNORED</t>
  </si>
  <si>
    <t>USER_DECISION_APPLIED</t>
  </si>
  <si>
    <t>REVIEW_REASON</t>
  </si>
  <si>
    <t>Use signed lease rent roll for economics and expiration. Doorloop dates ignored.</t>
  </si>
  <si>
    <t>Signed rent roll attachment; All Units; prior source-of-truth workbook; Adobe lease abstracts for clauses/contact if populated</t>
  </si>
  <si>
    <t>Unit 103 SF increased by 3 SF per owner correction. 101-103 physical group SF now 9,931. Monthly stated rent retained from signed rent roll unless billing is re-rated to corrected SF.</t>
  </si>
  <si>
    <t>Unit 103 SF increased from 3,051 to 3,054 per owner correction. 101-103 physical group SF now 9,931. Monthly stated rent retained from signed rent roll unless billing is re-rated to corrected SF.</t>
  </si>
  <si>
    <t>Physical unit is split from a combined lease group. Lease economics are group-level; unit allocation is for reporting only. Combined lease retained as legal/economic grouping while preserving physical unit separation.</t>
  </si>
  <si>
    <t>Owner confirmed 3-year renewal. Expiration updated to 2/28/2029.</t>
  </si>
  <si>
    <t>Resolved per owner correction.</t>
  </si>
  <si>
    <t>Owner confirmed Cat Clinic renewed for 3 years. Prior expired-occupied review cleared and expiration updated to 2/28/2029.</t>
  </si>
  <si>
    <t>User confirmed Magnolia Salon lease has been executed. Use signed lease rent roll for term/economics.</t>
  </si>
  <si>
    <t>Owner confirmed Unit 135B is owner occupied. Zero rent is intentional.</t>
  </si>
  <si>
    <t>Owner occupied. Do not bill as tenant lease unless internal chargeback is later desired.</t>
  </si>
  <si>
    <t>Owner occupied per owner correction. Zero rent and NA expiration intentionally retained.</t>
  </si>
  <si>
    <t>Resolved. Base PSF inferred to $14.95 if CAM/tax/insurance components remain as listed.</t>
  </si>
  <si>
    <t>Owner confirmed Upstream Rehabilitation signed lease and $19.95/SF. Monthly now ties to $3,187.01. Base PSF inferred to $14.95 assuming CAM $2.10, tax $0.95, insurance $1.95 remain unchanged.</t>
  </si>
  <si>
    <t>User resolved Jason's Deli by attached signed lease rent roll. Use 10/31/2030 expiration and $7,765.22 monthly.</t>
  </si>
  <si>
    <t>ITEM</t>
  </si>
  <si>
    <t>USER_ANSWER_APPLIED</t>
  </si>
  <si>
    <t>FINAL_ACTION</t>
  </si>
  <si>
    <t>OWNER_NEXT_STEP</t>
  </si>
  <si>
    <t>DoorLoop dates</t>
  </si>
  <si>
    <t>Forget DoorLoop dates. Use DoorLoop only as file reference.</t>
  </si>
  <si>
    <t>All final expiration dates come from attached signed lease rent roll.</t>
  </si>
  <si>
    <t>Do not import DoorLoop lease dates without manual verification.</t>
  </si>
  <si>
    <t>No action unless importing DoorLoop data later.</t>
  </si>
  <si>
    <t>Unit 145 Upstream Rehabilitation</t>
  </si>
  <si>
    <t>User confirmed signed lease and $19.95/SF.</t>
  </si>
  <si>
    <t>Set Unit 145 active. Total PSF and monthly now tie. Base PSF inferred to $14.95 if CAM/tax/insurance remain unchanged.</t>
  </si>
  <si>
    <t>Resolved for total/monthly. Verify component-level breakdown only if import requires separate base/CAM/tax/insurance fields.</t>
  </si>
  <si>
    <t>None unless component import is required.</t>
  </si>
  <si>
    <t>Unit 121 Magnolia Salon</t>
  </si>
  <si>
    <t>User confirmed lease executed.</t>
  </si>
  <si>
    <t>Set active with 12/31/2031 expiration and attached economics.</t>
  </si>
  <si>
    <t>No further execution review needed.</t>
  </si>
  <si>
    <t>None.</t>
  </si>
  <si>
    <t>Expired occupied lease: Cat Clinic of Lafayette</t>
  </si>
  <si>
    <t>User confirmed Cat Clinic renewed for 3 years.</t>
  </si>
  <si>
    <t>Updated expiration to 2/28/2029 and status to ACTIVE.</t>
  </si>
  <si>
    <t>User said see attached signed lease rent roll.</t>
  </si>
  <si>
    <t>Set final values to $20.20/SF total, $7,765.22 monthly, 10/31/2030 expiration.</t>
  </si>
  <si>
    <t>This resolves prior source conflict against DoorLoop/prior sheet.</t>
  </si>
  <si>
    <t>User said not right now.</t>
  </si>
  <si>
    <t>Keep units physically separated but retain lease group economics.</t>
  </si>
  <si>
    <t>Do not treat allocated unit amounts as separate legal charges unless leases split them.</t>
  </si>
  <si>
    <t>None for this pass.</t>
  </si>
  <si>
    <t>Lease date conflicts</t>
  </si>
  <si>
    <t>User said forget DoorLoop dates.</t>
  </si>
  <si>
    <t>Final workbook suppresses DoorLoop as date authority.</t>
  </si>
  <si>
    <t>Use signed rent roll expirations as current truth.</t>
  </si>
  <si>
    <t>Total square footage mismatch</t>
  </si>
  <si>
    <t>User instructed to take/apply the 3 SF adjustment to Unit 103.</t>
  </si>
  <si>
    <t>Unit 103 physical SF increased from 3,051 to 3,054. Physical unit total now reconciles to 62,810 SF.</t>
  </si>
  <si>
    <t>Rent billing was not silently changed. If rent is recalculated strictly by PSF, 101-103 monthly would increase by $4.84.</t>
  </si>
  <si>
    <t>Confirm only if Pink Paisley billing should be re-rated to 9,931 SF.</t>
  </si>
  <si>
    <t>Unit 135B Belle Realty</t>
  </si>
  <si>
    <t>User confirmed owner occupied.</t>
  </si>
  <si>
    <t>Set Unit 135B Belle Realty to OWNER_OCCUPIED. Zero rent/NA expiration retained intentionally.</t>
  </si>
  <si>
    <t>Metric</t>
  </si>
  <si>
    <t>Value</t>
  </si>
  <si>
    <t>Interpretation</t>
  </si>
  <si>
    <t>Physical unit rows</t>
  </si>
  <si>
    <t>Separated physical units from All Units</t>
  </si>
  <si>
    <t>Lease group rows</t>
  </si>
  <si>
    <t>Rows from attached signed lease rent roll</t>
  </si>
  <si>
    <t>Physical unit SF sum</t>
  </si>
  <si>
    <t>Corrected physical unit total after adding 3 SF to Unit 103</t>
  </si>
  <si>
    <t>Attached rent roll total SF</t>
  </si>
  <si>
    <t>Owner-confirmed total SF</t>
  </si>
  <si>
    <t>SF difference</t>
  </si>
  <si>
    <t>Resolved by assigning +3 SF to Unit 103</t>
  </si>
  <si>
    <t>Sum monthly stated rows</t>
  </si>
  <si>
    <t>Sum of stated monthly rent amounts; not changed for 3 SF physical correction</t>
  </si>
  <si>
    <t>Attached rent roll stated monthly total</t>
  </si>
  <si>
    <t>As shown in screenshot</t>
  </si>
  <si>
    <t>Formula monthly total from stated PSF</t>
  </si>
  <si>
    <t>Uses corrected Unit 103 SF and owner-confirmed Upstream $19.95/SF</t>
  </si>
  <si>
    <t>Monthly variance from formula</t>
  </si>
  <si>
    <t>Remaining variance is from 101-103 physical SF correction while monthly rent was retained</t>
  </si>
  <si>
    <t>Rows needing review in FINAL_UNIT_SOT</t>
  </si>
  <si>
    <t>Open owner decision items resolved. Only optional component/billing import verification remains.</t>
  </si>
  <si>
    <t>DoorLoop date authority</t>
  </si>
  <si>
    <t>Ignored</t>
  </si>
  <si>
    <t>Per user instruction</t>
  </si>
  <si>
    <t>Current review date used for expired check</t>
  </si>
  <si>
    <t>2026-05-12</t>
  </si>
  <si>
    <t>System current date</t>
  </si>
  <si>
    <t>UNIT_OR_GROUP</t>
  </si>
  <si>
    <t>MONTHLY_RENT</t>
  </si>
  <si>
    <t>STATUS</t>
  </si>
  <si>
    <t>IMPORT_NOTE</t>
  </si>
  <si>
    <t>Import reference only. DoorLoop dates ignored. Unit 103 physical SF +3 per owner correction; monthly retained unless billing is re-rated.</t>
  </si>
  <si>
    <t>Import reference only. DoorLoop dates ignored.</t>
  </si>
  <si>
    <t>Import reference only. DoorLoop dates ignored. Combined lease group; do not split billing unless import system requires it and allocation is approved.</t>
  </si>
  <si>
    <t>Import reference only. DoorLoop dates ignored. Owner confirmed 3-year renewal to 2/28/2029.</t>
  </si>
  <si>
    <t>Owner occupied per owner correction. Zero rent intentionally retained.</t>
  </si>
  <si>
    <t>Import reference only. DoorLoop dates ignored. Owner confirmed $19.95/SF and signed lease.</t>
  </si>
  <si>
    <t>CORRECTION</t>
  </si>
  <si>
    <t>APPLIED_VALUE</t>
  </si>
  <si>
    <t>WHERE_APPLIED</t>
  </si>
  <si>
    <t>NOTE</t>
  </si>
  <si>
    <t>Upstream Rehabilitation total rent</t>
  </si>
  <si>
    <t>$19.95/SF</t>
  </si>
  <si>
    <t>SIGNED_RENT_ROLL_FINAL, FINAL_UNIT_SOT, IMPORT_STAGING_REFERENCE</t>
  </si>
  <si>
    <t>Monthly now ties to $3,187.01. Base PSF inferred to $14.95 if CAM/tax/insurance remain unchanged.</t>
  </si>
  <si>
    <t>Unit 103 square footage</t>
  </si>
  <si>
    <t>3,054 SF</t>
  </si>
  <si>
    <t>ALL_UNITS_CLEAN_PRO, FINAL_UNIT_SOT, QC_SUMMARY_FINAL</t>
  </si>
  <si>
    <t>Physical total now reconciles to 62,810 SF. 101-103 rent not silently increased.</t>
  </si>
  <si>
    <t>Cat Clinic renewal</t>
  </si>
  <si>
    <t>Expiration 2/28/2029</t>
  </si>
  <si>
    <t>Status changed from expired-occupied review to active.</t>
  </si>
  <si>
    <t>Belle Realty 135B</t>
  </si>
  <si>
    <t>Zero rent and NA expiration retained intentionally.</t>
  </si>
  <si>
    <t>Reference only</t>
  </si>
  <si>
    <t>All final sheets</t>
  </si>
  <si>
    <t>DoorLoop dates remain ignored as authority per owner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</si>
</sst>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164" formatCode="yyyy\-mm\-dd"/>
    <numFmt numFmtId="165" formatCode="mm/dd/yyyy"/>
    <numFmt numFmtId="166" formatCode="\$#,##0.00"/>
    <numFmt numFmtId="167" formatCode="\$#,##0.00;[Red]\(\$#,##0.00\);\-"/>
    <numFmt numFmtId="168" formatCode="0.0%"/>
    <numFmt numFmtId="169" formatCode="\$0.00"/>
  </numFmts>
  <fonts count="21" x14ac:knownFonts="1">
    <font>
      <sz val="11"/>
      <color theme="1"/>
      <name val="Aptos Narrow"/>
    </font>
    <font>
      <b/>
      <sz val="10"/>
      <color theme="1"/>
      <name val="Garamond"/>
      <family val="1"/>
    </font>
    <font>
      <sz val="10"/>
      <color theme="1"/>
      <name val="Garamond"/>
      <family val="1"/>
    </font>
    <font>
      <sz val="10"/>
      <color rgb="FF000000"/>
      <name val="Aptos Narrow"/>
      <family val="2"/>
    </font>
    <font>
      <sz val="10"/>
      <color rgb="FF000000"/>
      <name val="Garamond"/>
      <family val="1"/>
    </font>
    <font>
      <sz val="10"/>
      <color theme="1"/>
      <name val="Garamond"/>
      <family val="1"/>
    </font>
    <font>
      <sz val="10"/>
      <color theme="10"/>
      <name val="Aptos Narrow"/>
      <family val="2"/>
    </font>
    <font>
      <sz val="10"/>
      <color theme="1"/>
      <name val="Garamond"/>
      <family val="1"/>
    </font>
    <font>
      <b/>
      <sz val="10"/>
      <color rgb="FF000000"/>
      <name val="Garamond"/>
      <family val="1"/>
    </font>
    <font>
      <b/>
      <sz val="10"/>
      <color rgb="FF000000"/>
      <name val="Garamond"/>
      <family val="1"/>
    </font>
    <font>
      <b/>
      <sz val="10"/>
      <color theme="1"/>
      <name val="Garamond"/>
      <family val="1"/>
    </font>
    <font>
      <b/>
      <sz val="11"/>
      <color rgb="FFFFFFFF"/>
      <name val="Calibri"/>
      <family val="2"/>
    </font>
    <font>
      <b/>
      <sz val="11"/>
      <color rgb="FFFFFFFF"/>
      <name val="Aptos Narrow"/>
      <family val="2"/>
    </font>
    <font>
      <sz val="10"/>
      <color rgb="FF000000"/>
      <name val="Times New Roman"/>
      <family val="1"/>
    </font>
    <font>
      <sz val="14"/>
      <color rgb="FF000000"/>
      <name val="Garamond"/>
      <family val="1"/>
    </font>
    <font>
      <b/>
      <sz val="12"/>
      <name val="Garamond"/>
      <family val="1"/>
    </font>
    <font>
      <b/>
      <sz val="14"/>
      <color rgb="FF000000"/>
      <name val="Garamond"/>
      <family val="1"/>
    </font>
    <font>
      <b/>
      <sz val="14"/>
      <name val="Garamond"/>
      <family val="1"/>
    </font>
    <font>
      <b/>
      <sz val="11"/>
      <color rgb="FFFFFFFF"/>
      <name val="Aptos Narrow"/>
      <family val="2"/>
    </font>
    <font>
      <b/>
      <sz val="11"/>
      <name val="Aptos Narrow"/>
      <family val="2"/>
    </font>
    <font>
      <b/>
      <sz val="11"/>
      <color theme="1"/>
      <name val="Aptos Narrow"/>
      <family val="2"/>
    </font>
  </fonts>
  <fills count="32">
    <fill>
      <patternFill patternType="none"/>
    </fill>
    <fill>
      <patternFill patternType="gray125"/>
    </fill>
    <fill>
      <patternFill patternType="solid">
        <fgColor rgb="FFD9F1F3"/>
      </patternFill>
    </fill>
    <fill>
      <patternFill patternType="solid">
        <fgColor rgb="FFFFFFFF"/>
      </patternFill>
    </fill>
    <fill>
      <patternFill patternType="solid">
        <fgColor theme="4" tint="0.79992065187536243"/>
        <bgColor indexed="65"/>
      </patternFill>
    </fill>
    <fill>
      <patternFill patternType="solid">
        <fgColor theme="8" tint="0.79992065187536243"/>
        <bgColor indexed="65"/>
      </patternFill>
    </fill>
    <fill>
      <patternFill patternType="solid">
        <fgColor theme="7" tint="0.79992065187536243"/>
        <bgColor indexed="65"/>
      </patternFill>
    </fill>
    <fill>
      <patternFill patternType="solid">
        <fgColor theme="7" tint="0.79992065187536243"/>
        <bgColor indexed="65"/>
      </patternFill>
    </fill>
    <fill>
      <patternFill patternType="solid">
        <fgColor theme="6"/>
      </patternFill>
    </fill>
    <fill>
      <patternFill patternType="solid">
        <fgColor theme="4" tint="0.79992065187536243"/>
        <bgColor indexed="65"/>
      </patternFill>
    </fill>
    <fill>
      <patternFill patternType="solid">
        <fgColor theme="8" tint="0.79992065187536243"/>
        <bgColor indexed="65"/>
      </patternFill>
    </fill>
    <fill>
      <patternFill patternType="solid">
        <fgColor theme="7" tint="0.79992065187536243"/>
        <bgColor indexed="65"/>
      </patternFill>
    </fill>
    <fill>
      <patternFill patternType="solid">
        <fgColor rgb="FF366092"/>
      </patternFill>
    </fill>
    <fill>
      <patternFill patternType="solid">
        <fgColor rgb="FF1F4E78"/>
      </patternFill>
    </fill>
    <fill>
      <patternFill patternType="solid">
        <fgColor rgb="FFD9EAD3"/>
      </patternFill>
    </fill>
    <fill>
      <patternFill patternType="solid">
        <fgColor rgb="FFFCE4D6"/>
      </patternFill>
    </fill>
    <fill>
      <patternFill patternType="solid">
        <fgColor rgb="FFF4CCCC"/>
      </patternFill>
    </fill>
    <fill>
      <patternFill patternType="solid">
        <fgColor rgb="FFFFF2CC"/>
      </patternFill>
    </fill>
    <fill>
      <patternFill patternType="solid">
        <fgColor theme="0" tint="-0.14999847407452621"/>
        <bgColor indexed="65"/>
      </patternFill>
    </fill>
    <fill>
      <patternFill patternType="solid">
        <fgColor theme="0"/>
      </patternFill>
    </fill>
    <fill>
      <patternFill patternType="solid">
        <fgColor rgb="FF1F4E78"/>
      </patternFill>
    </fill>
    <fill>
      <patternFill patternType="solid">
        <fgColor rgb="FFFFF2CC"/>
      </patternFill>
    </fill>
    <fill>
      <patternFill patternType="solid">
        <fgColor rgb="FFF4CCCC"/>
      </patternFill>
    </fill>
    <fill>
      <patternFill patternType="solid">
        <fgColor rgb="FFEADCF8"/>
      </patternFill>
    </fill>
    <fill>
      <patternFill patternType="solid">
        <fgColor rgb="FFD9EAD3"/>
      </patternFill>
    </fill>
    <fill>
      <patternFill patternType="solid">
        <fgColor rgb="FFFFFFFF"/>
      </patternFill>
    </fill>
    <fill>
      <patternFill patternType="solid">
        <fgColor rgb="FFE7E6E6"/>
      </patternFill>
    </fill>
    <fill>
      <patternFill patternType="solid">
        <fgColor rgb="FFD9EAF7"/>
      </patternFill>
    </fill>
    <fill>
      <patternFill patternType="solid">
        <fgColor rgb="FF1F4E78"/>
      </patternFill>
    </fill>
    <fill>
      <patternFill patternType="solid">
        <fgColor rgb="FFD9EAD3"/>
      </patternFill>
    </fill>
    <fill>
      <patternFill patternType="solid">
        <fgColor rgb="FF1F2937"/>
      </patternFill>
    </fill>
    <fill>
      <patternFill patternType="solid">
        <fgColor theme="4" tint="0.59999389629810485"/>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D9E2F3"/>
      </bottom>
      <diagonal/>
    </border>
    <border>
      <left/>
      <right/>
      <top/>
      <bottom style="hair">
        <color rgb="FFE5E7EB"/>
      </bottom>
      <diagonal/>
    </border>
    <border>
      <left/>
      <right/>
      <top/>
      <bottom style="medium">
        <color rgb="FF1F4E78"/>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3" fillId="0" borderId="0"/>
    <xf numFmtId="0" fontId="6" fillId="0" borderId="0"/>
    <xf numFmtId="0" fontId="13" fillId="0" borderId="0"/>
  </cellStyleXfs>
  <cellXfs count="135">
    <xf numFmtId="0" fontId="0" fillId="0" borderId="0" xfId="0"/>
    <xf numFmtId="0" fontId="1" fillId="0" borderId="0" xfId="0" applyFont="1" applyAlignment="1">
      <alignment horizontal="center" vertical="center" wrapText="1"/>
    </xf>
    <xf numFmtId="0" fontId="2"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3" fontId="2" fillId="0" borderId="0" xfId="0" applyNumberFormat="1" applyFont="1" applyAlignment="1">
      <alignment horizontal="center" vertical="center" wrapText="1"/>
    </xf>
    <xf numFmtId="8" fontId="2" fillId="0" borderId="0" xfId="0" applyNumberFormat="1" applyFont="1" applyAlignment="1">
      <alignment vertical="center" wrapText="1"/>
    </xf>
    <xf numFmtId="0" fontId="2" fillId="0" borderId="0" xfId="0" applyFont="1" applyAlignment="1">
      <alignment horizontal="center"/>
    </xf>
    <xf numFmtId="3" fontId="2" fillId="0" borderId="0" xfId="0" applyNumberFormat="1" applyFont="1" applyAlignment="1">
      <alignment horizontal="center"/>
    </xf>
    <xf numFmtId="0" fontId="3" fillId="0" borderId="0" xfId="1"/>
    <xf numFmtId="2" fontId="4" fillId="0" borderId="1" xfId="1" applyNumberFormat="1" applyFont="1" applyBorder="1" applyAlignment="1">
      <alignment horizontal="center" vertical="center"/>
    </xf>
    <xf numFmtId="0" fontId="4" fillId="0" borderId="1" xfId="1" applyFont="1" applyBorder="1" applyAlignment="1">
      <alignment horizontal="center" vertical="center"/>
    </xf>
    <xf numFmtId="0" fontId="4" fillId="0" borderId="1" xfId="1" applyFont="1" applyBorder="1"/>
    <xf numFmtId="0" fontId="4" fillId="2" borderId="1" xfId="1" applyFont="1" applyFill="1" applyBorder="1" applyAlignment="1">
      <alignment horizontal="center" vertical="center"/>
    </xf>
    <xf numFmtId="2" fontId="4" fillId="2" borderId="1" xfId="1" applyNumberFormat="1" applyFont="1" applyFill="1" applyBorder="1" applyAlignment="1">
      <alignment horizontal="center" vertical="center"/>
    </xf>
    <xf numFmtId="0" fontId="5" fillId="0" borderId="1" xfId="1" applyFont="1" applyBorder="1"/>
    <xf numFmtId="2" fontId="5" fillId="0" borderId="1" xfId="1" applyNumberFormat="1" applyFont="1" applyBorder="1" applyAlignment="1">
      <alignment horizontal="center" vertical="center"/>
    </xf>
    <xf numFmtId="0" fontId="5" fillId="0" borderId="1" xfId="1" applyFont="1" applyBorder="1" applyAlignment="1">
      <alignment horizontal="center" vertical="center"/>
    </xf>
    <xf numFmtId="0" fontId="5" fillId="2" borderId="1" xfId="1" applyFont="1" applyFill="1" applyBorder="1" applyAlignment="1">
      <alignment horizontal="center" vertical="center"/>
    </xf>
    <xf numFmtId="2" fontId="5" fillId="2" borderId="1" xfId="1" applyNumberFormat="1" applyFont="1" applyFill="1" applyBorder="1" applyAlignment="1">
      <alignment horizontal="center" vertical="center"/>
    </xf>
    <xf numFmtId="49" fontId="5" fillId="2" borderId="1" xfId="1" applyNumberFormat="1" applyFont="1" applyFill="1" applyBorder="1" applyAlignment="1">
      <alignment horizontal="center" vertical="center"/>
    </xf>
    <xf numFmtId="2" fontId="5" fillId="3" borderId="1" xfId="1" applyNumberFormat="1" applyFont="1" applyFill="1" applyBorder="1" applyAlignment="1">
      <alignment horizontal="center" vertical="center"/>
    </xf>
    <xf numFmtId="0" fontId="5" fillId="3" borderId="1" xfId="1" applyFont="1" applyFill="1" applyBorder="1" applyAlignment="1">
      <alignment horizontal="center" vertical="center"/>
    </xf>
    <xf numFmtId="49" fontId="5" fillId="3" borderId="1" xfId="1" applyNumberFormat="1" applyFont="1" applyFill="1" applyBorder="1" applyAlignment="1">
      <alignment horizontal="center" vertical="center"/>
    </xf>
    <xf numFmtId="164" fontId="5" fillId="2" borderId="1" xfId="1" applyNumberFormat="1" applyFont="1" applyFill="1" applyBorder="1" applyAlignment="1">
      <alignment horizontal="center" vertical="center"/>
    </xf>
    <xf numFmtId="49" fontId="5" fillId="0" borderId="1" xfId="1" applyNumberFormat="1" applyFont="1" applyBorder="1" applyAlignment="1">
      <alignment horizontal="center" vertical="center"/>
    </xf>
    <xf numFmtId="2" fontId="5" fillId="0" borderId="2" xfId="1" applyNumberFormat="1" applyFont="1" applyBorder="1" applyAlignment="1">
      <alignment horizontal="center" vertical="center"/>
    </xf>
    <xf numFmtId="49" fontId="5" fillId="0" borderId="2" xfId="1" applyNumberFormat="1" applyFont="1" applyBorder="1" applyAlignment="1">
      <alignment horizontal="center" vertical="center"/>
    </xf>
    <xf numFmtId="0" fontId="5" fillId="0" borderId="2" xfId="1" applyFont="1" applyBorder="1"/>
    <xf numFmtId="49" fontId="5" fillId="2" borderId="2" xfId="1" applyNumberFormat="1" applyFont="1" applyFill="1" applyBorder="1" applyAlignment="1">
      <alignment horizontal="center" vertical="center"/>
    </xf>
    <xf numFmtId="2" fontId="5" fillId="2" borderId="2" xfId="1" applyNumberFormat="1" applyFont="1" applyFill="1" applyBorder="1" applyAlignment="1">
      <alignment horizontal="center" vertical="center"/>
    </xf>
    <xf numFmtId="164" fontId="5" fillId="2" borderId="2" xfId="1" applyNumberFormat="1" applyFont="1" applyFill="1" applyBorder="1" applyAlignment="1">
      <alignment horizontal="center" vertical="center"/>
    </xf>
    <xf numFmtId="2" fontId="5" fillId="0" borderId="3" xfId="1" applyNumberFormat="1" applyFont="1" applyBorder="1" applyAlignment="1">
      <alignment horizontal="center" vertical="center"/>
    </xf>
    <xf numFmtId="49" fontId="5" fillId="0" borderId="3" xfId="1" applyNumberFormat="1" applyFont="1" applyBorder="1" applyAlignment="1">
      <alignment horizontal="center" vertical="center"/>
    </xf>
    <xf numFmtId="0" fontId="5" fillId="0" borderId="3" xfId="1" applyFont="1" applyBorder="1"/>
    <xf numFmtId="49" fontId="5" fillId="2" borderId="3" xfId="1" applyNumberFormat="1" applyFont="1" applyFill="1" applyBorder="1" applyAlignment="1">
      <alignment horizontal="center" vertical="center"/>
    </xf>
    <xf numFmtId="49" fontId="6" fillId="2" borderId="3" xfId="2" applyNumberFormat="1" applyFill="1" applyBorder="1" applyAlignment="1">
      <alignment horizontal="center" vertical="center"/>
    </xf>
    <xf numFmtId="2" fontId="5" fillId="4" borderId="3" xfId="1" applyNumberFormat="1" applyFont="1" applyFill="1" applyBorder="1" applyAlignment="1">
      <alignment horizontal="center" vertical="center"/>
    </xf>
    <xf numFmtId="44" fontId="5" fillId="5" borderId="3" xfId="1" applyNumberFormat="1" applyFont="1" applyFill="1" applyBorder="1" applyAlignment="1">
      <alignment horizontal="center" vertical="center"/>
    </xf>
    <xf numFmtId="44" fontId="5" fillId="6" borderId="3" xfId="1" applyNumberFormat="1" applyFont="1" applyFill="1" applyBorder="1" applyAlignment="1">
      <alignment horizontal="center" vertical="center"/>
    </xf>
    <xf numFmtId="44" fontId="5" fillId="7" borderId="3" xfId="1" applyNumberFormat="1" applyFont="1" applyFill="1" applyBorder="1" applyAlignment="1">
      <alignment horizontal="center" vertical="center"/>
    </xf>
    <xf numFmtId="165" fontId="5" fillId="2" borderId="3" xfId="1" applyNumberFormat="1" applyFont="1" applyFill="1" applyBorder="1" applyAlignment="1">
      <alignment horizontal="center" vertical="center"/>
    </xf>
    <xf numFmtId="2" fontId="5" fillId="2" borderId="3" xfId="1" applyNumberFormat="1" applyFont="1" applyFill="1" applyBorder="1" applyAlignment="1">
      <alignment horizontal="center" vertical="center"/>
    </xf>
    <xf numFmtId="49" fontId="5" fillId="2" borderId="3" xfId="1" applyNumberFormat="1" applyFont="1" applyFill="1" applyBorder="1" applyAlignment="1">
      <alignment horizontal="center"/>
    </xf>
    <xf numFmtId="49" fontId="2" fillId="0" borderId="3" xfId="1" applyNumberFormat="1" applyFont="1" applyBorder="1" applyAlignment="1">
      <alignment horizontal="center" vertical="center"/>
    </xf>
    <xf numFmtId="164" fontId="5" fillId="2" borderId="3" xfId="1" applyNumberFormat="1" applyFont="1" applyFill="1" applyBorder="1" applyAlignment="1">
      <alignment horizontal="center" vertical="center"/>
    </xf>
    <xf numFmtId="2" fontId="5" fillId="8" borderId="3" xfId="1" applyNumberFormat="1" applyFont="1" applyFill="1" applyBorder="1" applyAlignment="1">
      <alignment horizontal="center" vertical="center"/>
    </xf>
    <xf numFmtId="49" fontId="5" fillId="8" borderId="3" xfId="1" applyNumberFormat="1" applyFont="1" applyFill="1" applyBorder="1" applyAlignment="1">
      <alignment horizontal="center" vertical="center"/>
    </xf>
    <xf numFmtId="0" fontId="5" fillId="8" borderId="3" xfId="1" applyFont="1" applyFill="1" applyBorder="1"/>
    <xf numFmtId="2" fontId="5" fillId="9" borderId="3" xfId="1" applyNumberFormat="1" applyFont="1" applyFill="1" applyBorder="1" applyAlignment="1">
      <alignment horizontal="center" vertical="center"/>
    </xf>
    <xf numFmtId="44" fontId="5" fillId="10" borderId="3" xfId="1" applyNumberFormat="1" applyFont="1" applyFill="1" applyBorder="1" applyAlignment="1">
      <alignment horizontal="center" vertical="center"/>
    </xf>
    <xf numFmtId="44" fontId="5" fillId="11" borderId="3" xfId="1" applyNumberFormat="1" applyFont="1" applyFill="1" applyBorder="1" applyAlignment="1">
      <alignment horizontal="center" vertical="center"/>
    </xf>
    <xf numFmtId="164" fontId="5" fillId="8" borderId="3" xfId="1" applyNumberFormat="1" applyFont="1" applyFill="1" applyBorder="1" applyAlignment="1">
      <alignment horizontal="center" vertical="center"/>
    </xf>
    <xf numFmtId="49" fontId="5" fillId="8" borderId="3" xfId="1" applyNumberFormat="1" applyFont="1" applyFill="1" applyBorder="1" applyAlignment="1">
      <alignment horizontal="center"/>
    </xf>
    <xf numFmtId="49" fontId="7" fillId="2" borderId="3" xfId="1" applyNumberFormat="1" applyFont="1" applyFill="1" applyBorder="1" applyAlignment="1">
      <alignment horizontal="center" vertical="center"/>
    </xf>
    <xf numFmtId="49" fontId="5" fillId="0" borderId="3" xfId="1" applyNumberFormat="1" applyFont="1" applyBorder="1" applyAlignment="1">
      <alignment horizontal="left" vertical="center"/>
    </xf>
    <xf numFmtId="0" fontId="5" fillId="2" borderId="3" xfId="1" applyFont="1" applyFill="1" applyBorder="1" applyAlignment="1">
      <alignment horizontal="center" vertical="center"/>
    </xf>
    <xf numFmtId="0" fontId="5" fillId="0" borderId="3" xfId="1" applyFont="1" applyBorder="1" applyAlignment="1">
      <alignment horizontal="center" vertical="center"/>
    </xf>
    <xf numFmtId="49" fontId="2" fillId="2" borderId="3" xfId="1" applyNumberFormat="1" applyFont="1" applyFill="1" applyBorder="1" applyAlignment="1">
      <alignment horizontal="center" vertical="center"/>
    </xf>
    <xf numFmtId="165" fontId="4" fillId="2" borderId="3" xfId="1" applyNumberFormat="1" applyFont="1" applyFill="1" applyBorder="1"/>
    <xf numFmtId="2" fontId="8" fillId="0" borderId="3" xfId="1" applyNumberFormat="1" applyFont="1" applyBorder="1" applyAlignment="1">
      <alignment horizontal="center" vertical="center"/>
    </xf>
    <xf numFmtId="49" fontId="8" fillId="0" borderId="3" xfId="1" applyNumberFormat="1" applyFont="1" applyBorder="1" applyAlignment="1">
      <alignment horizontal="center" vertical="center"/>
    </xf>
    <xf numFmtId="49" fontId="8" fillId="0" borderId="3" xfId="1" applyNumberFormat="1" applyFont="1" applyBorder="1" applyAlignment="1">
      <alignment horizontal="center" vertical="center" wrapText="1"/>
    </xf>
    <xf numFmtId="49" fontId="8" fillId="2" borderId="3" xfId="1" applyNumberFormat="1" applyFont="1" applyFill="1" applyBorder="1" applyAlignment="1">
      <alignment horizontal="center" vertical="center" wrapText="1"/>
    </xf>
    <xf numFmtId="49" fontId="9" fillId="0" borderId="3" xfId="1" applyNumberFormat="1" applyFont="1" applyBorder="1" applyAlignment="1">
      <alignment horizontal="center" vertical="center" wrapText="1"/>
    </xf>
    <xf numFmtId="2" fontId="8" fillId="4" borderId="3" xfId="1" applyNumberFormat="1" applyFont="1" applyFill="1" applyBorder="1" applyAlignment="1">
      <alignment horizontal="center" vertical="center"/>
    </xf>
    <xf numFmtId="2" fontId="9" fillId="5" borderId="3" xfId="1" applyNumberFormat="1" applyFont="1" applyFill="1" applyBorder="1" applyAlignment="1">
      <alignment horizontal="center" vertical="center" wrapText="1"/>
    </xf>
    <xf numFmtId="49" fontId="9" fillId="5" borderId="3" xfId="1" applyNumberFormat="1" applyFont="1" applyFill="1" applyBorder="1" applyAlignment="1">
      <alignment horizontal="center" vertical="center" wrapText="1"/>
    </xf>
    <xf numFmtId="49" fontId="8" fillId="6" borderId="3" xfId="1" applyNumberFormat="1" applyFont="1" applyFill="1" applyBorder="1" applyAlignment="1">
      <alignment horizontal="center" vertical="center" wrapText="1"/>
    </xf>
    <xf numFmtId="2" fontId="8" fillId="7" borderId="3" xfId="1" applyNumberFormat="1" applyFont="1" applyFill="1" applyBorder="1" applyAlignment="1">
      <alignment horizontal="center" vertical="center"/>
    </xf>
    <xf numFmtId="49" fontId="8" fillId="2" borderId="3" xfId="1" applyNumberFormat="1" applyFont="1" applyFill="1" applyBorder="1" applyAlignment="1">
      <alignment horizontal="center" vertical="center"/>
    </xf>
    <xf numFmtId="2" fontId="8" fillId="2" borderId="3" xfId="1" applyNumberFormat="1" applyFont="1" applyFill="1" applyBorder="1" applyAlignment="1">
      <alignment horizontal="center" vertical="center" wrapText="1"/>
    </xf>
    <xf numFmtId="49" fontId="10" fillId="2" borderId="3" xfId="1" applyNumberFormat="1" applyFont="1" applyFill="1" applyBorder="1" applyAlignment="1">
      <alignment horizontal="center" vertical="center" wrapText="1"/>
    </xf>
    <xf numFmtId="14" fontId="0" fillId="0" borderId="0" xfId="0" applyNumberFormat="1"/>
    <xf numFmtId="0" fontId="11" fillId="12" borderId="0" xfId="0" applyFont="1" applyFill="1" applyAlignment="1">
      <alignment horizontal="center" vertical="center"/>
    </xf>
    <xf numFmtId="0" fontId="12" fillId="13" borderId="4" xfId="0" applyFont="1" applyFill="1" applyBorder="1" applyAlignment="1">
      <alignment horizontal="center" vertical="center" wrapText="1"/>
    </xf>
    <xf numFmtId="0" fontId="0" fillId="0" borderId="5" xfId="0" applyBorder="1" applyAlignment="1">
      <alignment vertical="top" wrapText="1"/>
    </xf>
    <xf numFmtId="0" fontId="0" fillId="14" borderId="5" xfId="0" applyFill="1" applyBorder="1" applyAlignment="1">
      <alignment vertical="top" wrapText="1"/>
    </xf>
    <xf numFmtId="164" fontId="0" fillId="0" borderId="5" xfId="0" applyNumberFormat="1" applyBorder="1" applyAlignment="1">
      <alignment vertical="top" wrapText="1"/>
    </xf>
    <xf numFmtId="166" fontId="0" fillId="0" borderId="5" xfId="0" applyNumberFormat="1" applyBorder="1" applyAlignment="1">
      <alignment vertical="top" wrapText="1"/>
    </xf>
    <xf numFmtId="3" fontId="0" fillId="0" borderId="5" xfId="0" applyNumberFormat="1" applyBorder="1" applyAlignment="1">
      <alignment vertical="top" wrapText="1"/>
    </xf>
    <xf numFmtId="0" fontId="0" fillId="15" borderId="5" xfId="0" applyFill="1" applyBorder="1" applyAlignment="1">
      <alignment vertical="top" wrapText="1"/>
    </xf>
    <xf numFmtId="0" fontId="0" fillId="16" borderId="5" xfId="0" applyFill="1" applyBorder="1" applyAlignment="1">
      <alignment vertical="top" wrapText="1"/>
    </xf>
    <xf numFmtId="0" fontId="0" fillId="17" borderId="5" xfId="0" applyFill="1" applyBorder="1" applyAlignment="1">
      <alignment vertical="top" wrapText="1"/>
    </xf>
    <xf numFmtId="0" fontId="12" fillId="13" borderId="5" xfId="0" applyFont="1" applyFill="1" applyBorder="1" applyAlignment="1">
      <alignment vertical="top" wrapText="1"/>
    </xf>
    <xf numFmtId="0" fontId="14" fillId="0" borderId="0" xfId="3" applyFont="1" applyAlignment="1">
      <alignment horizontal="left"/>
    </xf>
    <xf numFmtId="0" fontId="14" fillId="0" borderId="0" xfId="3" applyFont="1" applyAlignment="1">
      <alignment horizontal="center" vertical="center"/>
    </xf>
    <xf numFmtId="3" fontId="14" fillId="18" borderId="0" xfId="3" applyNumberFormat="1" applyFont="1" applyFill="1" applyAlignment="1">
      <alignment horizontal="center"/>
    </xf>
    <xf numFmtId="0" fontId="15" fillId="0" borderId="0" xfId="3" applyFont="1" applyAlignment="1">
      <alignment horizontal="left" wrapText="1"/>
    </xf>
    <xf numFmtId="1" fontId="16" fillId="18" borderId="0" xfId="3" applyNumberFormat="1" applyFont="1" applyFill="1" applyAlignment="1">
      <alignment horizontal="left"/>
    </xf>
    <xf numFmtId="0" fontId="14" fillId="0" borderId="3" xfId="3" applyFont="1" applyBorder="1" applyAlignment="1">
      <alignment horizontal="center" vertical="center"/>
    </xf>
    <xf numFmtId="3" fontId="14" fillId="19" borderId="3" xfId="3" applyNumberFormat="1" applyFont="1" applyFill="1" applyBorder="1" applyAlignment="1">
      <alignment horizontal="center"/>
    </xf>
    <xf numFmtId="0" fontId="15" fillId="19" borderId="3" xfId="3" applyFont="1" applyFill="1" applyBorder="1" applyAlignment="1">
      <alignment horizontal="left" wrapText="1"/>
    </xf>
    <xf numFmtId="1" fontId="16" fillId="19" borderId="3" xfId="3" applyNumberFormat="1" applyFont="1" applyFill="1" applyBorder="1" applyAlignment="1">
      <alignment horizontal="left"/>
    </xf>
    <xf numFmtId="0" fontId="17" fillId="19" borderId="3" xfId="3" applyFont="1" applyFill="1" applyBorder="1" applyAlignment="1">
      <alignment horizontal="left" wrapText="1"/>
    </xf>
    <xf numFmtId="0" fontId="14" fillId="19" borderId="3" xfId="3" applyFont="1" applyFill="1" applyBorder="1" applyAlignment="1">
      <alignment horizontal="left" wrapText="1"/>
    </xf>
    <xf numFmtId="0" fontId="14" fillId="0" borderId="0" xfId="3" applyFont="1"/>
    <xf numFmtId="0" fontId="16" fillId="0" borderId="3" xfId="3" applyFont="1" applyBorder="1" applyAlignment="1">
      <alignment horizontal="center" vertical="center"/>
    </xf>
    <xf numFmtId="0" fontId="17" fillId="0" borderId="3" xfId="3" applyFont="1" applyBorder="1" applyAlignment="1">
      <alignment horizontal="center" vertical="center" wrapText="1"/>
    </xf>
    <xf numFmtId="0" fontId="18" fillId="20" borderId="0" xfId="0" applyFont="1" applyFill="1" applyAlignment="1">
      <alignment vertical="top" wrapText="1"/>
    </xf>
    <xf numFmtId="0" fontId="0" fillId="25" borderId="0" xfId="0" applyFill="1" applyAlignment="1">
      <alignment vertical="top" wrapText="1"/>
    </xf>
    <xf numFmtId="0" fontId="0" fillId="26" borderId="0" xfId="0" applyFill="1" applyAlignment="1">
      <alignment vertical="top" wrapText="1"/>
    </xf>
    <xf numFmtId="0" fontId="18" fillId="20" borderId="6" xfId="0" applyFont="1" applyFill="1" applyBorder="1" applyAlignment="1">
      <alignment horizontal="center" vertical="center" wrapText="1"/>
    </xf>
    <xf numFmtId="0" fontId="0" fillId="0" borderId="0" xfId="0" applyAlignment="1">
      <alignment vertical="top" wrapText="1"/>
    </xf>
    <xf numFmtId="167" fontId="0" fillId="0" borderId="0" xfId="0" applyNumberFormat="1" applyAlignment="1">
      <alignment vertical="top" wrapText="1"/>
    </xf>
    <xf numFmtId="0" fontId="0" fillId="22" borderId="0" xfId="0" applyFill="1" applyAlignment="1">
      <alignment vertical="top" wrapText="1"/>
    </xf>
    <xf numFmtId="0" fontId="0" fillId="21" borderId="0" xfId="0" applyFill="1" applyAlignment="1">
      <alignment vertical="top" wrapText="1"/>
    </xf>
    <xf numFmtId="3" fontId="0" fillId="0" borderId="0" xfId="0" applyNumberFormat="1" applyAlignment="1">
      <alignment vertical="top" wrapText="1"/>
    </xf>
    <xf numFmtId="164" fontId="0" fillId="0" borderId="0" xfId="0" applyNumberFormat="1" applyAlignment="1">
      <alignment vertical="top" wrapText="1"/>
    </xf>
    <xf numFmtId="0" fontId="19" fillId="27" borderId="0" xfId="0" applyFont="1" applyFill="1" applyAlignment="1">
      <alignment vertical="top" wrapText="1"/>
    </xf>
    <xf numFmtId="0" fontId="0" fillId="0" borderId="0" xfId="0" applyAlignment="1">
      <alignment wrapText="1"/>
    </xf>
    <xf numFmtId="0" fontId="12" fillId="28" borderId="0" xfId="0" applyFont="1" applyFill="1" applyAlignment="1">
      <alignment horizontal="center" vertical="center" wrapText="1"/>
    </xf>
    <xf numFmtId="166" fontId="0" fillId="0" borderId="0" xfId="0" applyNumberFormat="1" applyAlignment="1">
      <alignment vertical="top" wrapText="1"/>
    </xf>
    <xf numFmtId="14" fontId="0" fillId="0" borderId="0" xfId="0" applyNumberFormat="1" applyAlignment="1">
      <alignment vertical="top" wrapText="1"/>
    </xf>
    <xf numFmtId="10" fontId="0" fillId="0" borderId="0" xfId="0" applyNumberFormat="1" applyAlignment="1">
      <alignment vertical="top" wrapText="1"/>
    </xf>
    <xf numFmtId="4" fontId="0" fillId="0" borderId="0" xfId="0" applyNumberFormat="1" applyAlignment="1">
      <alignment vertical="top" wrapText="1"/>
    </xf>
    <xf numFmtId="0" fontId="20" fillId="29" borderId="0" xfId="0" applyFont="1" applyFill="1" applyAlignment="1">
      <alignment vertical="top" wrapText="1"/>
    </xf>
    <xf numFmtId="3" fontId="20" fillId="29" borderId="0" xfId="0" applyNumberFormat="1" applyFont="1" applyFill="1" applyAlignment="1">
      <alignment vertical="top" wrapText="1"/>
    </xf>
    <xf numFmtId="166" fontId="20" fillId="29" borderId="0" xfId="0" applyNumberFormat="1" applyFont="1" applyFill="1" applyAlignment="1">
      <alignment vertical="top" wrapText="1"/>
    </xf>
    <xf numFmtId="0" fontId="12" fillId="30" borderId="0" xfId="0" applyFont="1" applyFill="1" applyAlignment="1">
      <alignment wrapText="1"/>
    </xf>
    <xf numFmtId="0" fontId="0" fillId="0" borderId="7" xfId="0" applyBorder="1" applyAlignment="1">
      <alignment horizontal="left" vertical="center" indent="1"/>
    </xf>
    <xf numFmtId="0" fontId="0" fillId="0" borderId="7" xfId="0" applyBorder="1" applyAlignment="1">
      <alignment horizontal="left" vertical="center" wrapText="1" indent="1"/>
    </xf>
    <xf numFmtId="0" fontId="0" fillId="21" borderId="7" xfId="0" applyFill="1" applyBorder="1" applyAlignment="1">
      <alignment horizontal="left" vertical="center" wrapText="1" indent="1"/>
    </xf>
    <xf numFmtId="3" fontId="0" fillId="0" borderId="7" xfId="0" applyNumberFormat="1" applyBorder="1" applyAlignment="1">
      <alignment horizontal="left" vertical="center" wrapText="1" indent="1"/>
    </xf>
    <xf numFmtId="0" fontId="0" fillId="24" borderId="7" xfId="0" applyFill="1" applyBorder="1" applyAlignment="1">
      <alignment horizontal="left" vertical="center" wrapText="1" indent="1"/>
    </xf>
    <xf numFmtId="3" fontId="0" fillId="24" borderId="7" xfId="0" applyNumberFormat="1" applyFill="1" applyBorder="1" applyAlignment="1">
      <alignment horizontal="left" vertical="center" wrapText="1" indent="1"/>
    </xf>
    <xf numFmtId="168" fontId="0" fillId="0" borderId="7" xfId="0" applyNumberFormat="1" applyBorder="1" applyAlignment="1">
      <alignment horizontal="left" vertical="center" wrapText="1" indent="1"/>
    </xf>
    <xf numFmtId="164" fontId="0" fillId="0" borderId="7" xfId="0" applyNumberFormat="1" applyBorder="1" applyAlignment="1">
      <alignment horizontal="left" vertical="center" wrapText="1" indent="1"/>
    </xf>
    <xf numFmtId="167" fontId="0" fillId="0" borderId="7" xfId="0" applyNumberFormat="1" applyBorder="1" applyAlignment="1">
      <alignment horizontal="left" vertical="center" wrapText="1" indent="1"/>
    </xf>
    <xf numFmtId="169" fontId="0" fillId="0" borderId="7" xfId="0" applyNumberFormat="1" applyBorder="1" applyAlignment="1">
      <alignment horizontal="left" vertical="center" wrapText="1" indent="1"/>
    </xf>
    <xf numFmtId="0" fontId="0" fillId="22" borderId="7" xfId="0" applyFill="1" applyBorder="1" applyAlignment="1">
      <alignment horizontal="left" vertical="center" wrapText="1" indent="1"/>
    </xf>
    <xf numFmtId="0" fontId="0" fillId="23" borderId="7" xfId="0" applyFill="1" applyBorder="1" applyAlignment="1">
      <alignment horizontal="left" vertical="center" wrapText="1" indent="1"/>
    </xf>
    <xf numFmtId="0" fontId="18" fillId="31" borderId="7" xfId="0" applyFont="1" applyFill="1" applyBorder="1" applyAlignment="1">
      <alignment horizontal="center" vertical="center" wrapText="1"/>
    </xf>
    <xf numFmtId="0" fontId="0" fillId="31" borderId="7" xfId="0" applyFill="1" applyBorder="1" applyAlignment="1">
      <alignment horizontal="center" vertical="center"/>
    </xf>
    <xf numFmtId="1" fontId="0" fillId="0" borderId="7" xfId="0" applyNumberFormat="1" applyBorder="1" applyAlignment="1">
      <alignment horizontal="left" vertical="center" wrapText="1" indent="1"/>
    </xf>
  </cellXfs>
  <cellStyles count="4">
    <cellStyle name="Hyperlink" xfId="2" xr:uid="{00000000-0005-0000-0000-000002000000}"/>
    <cellStyle name="Normal" xfId="0" builtinId="0"/>
    <cellStyle name="Normal 2" xfId="1" xr:uid="{00000000-0005-0000-0000-000001000000}"/>
    <cellStyle name="Normal 3" xfId="3" xr:uid="{00000000-0005-0000-0000-000003000000}"/>
  </cellStyles>
  <dxfs count="6">
    <dxf>
      <fill>
        <patternFill>
          <bgColor rgb="FFFFF2CC"/>
        </patternFill>
      </fill>
    </dxf>
    <dxf>
      <fill>
        <patternFill>
          <bgColor rgb="FFE7E6E6"/>
        </patternFill>
      </fill>
    </dxf>
    <dxf>
      <fill>
        <patternFill>
          <bgColor rgb="FFFFF2CC"/>
        </patternFill>
      </fill>
    </dxf>
    <dxf>
      <fill>
        <patternFill>
          <bgColor rgb="FFFFF2CC"/>
        </patternFill>
      </fill>
    </dxf>
    <dxf>
      <fill>
        <patternFill>
          <bgColor rgb="FFF8CBAD"/>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57150</xdr:colOff>
      <xdr:row>36</xdr:row>
      <xdr:rowOff>85725</xdr:rowOff>
    </xdr:to>
    <xdr:sp macro="" textlink="">
      <xdr:nvSpPr>
        <xdr:cNvPr id="1046" name="Text Box 22" hidden="1">
          <a:extLst>
            <a:ext uri="{FF2B5EF4-FFF2-40B4-BE49-F238E27FC236}">
              <a16:creationId xmlns:a16="http://schemas.microsoft.com/office/drawing/2014/main" id="{EBA93233-BF49-9F58-1736-F4DE61D0F96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workbookViewId="0"/>
  </sheetViews>
  <sheetFormatPr defaultRowHeight="15" x14ac:dyDescent="0.25"/>
  <cols>
    <col min="1" max="1" width="30" customWidth="1"/>
    <col min="2" max="2" width="120" customWidth="1"/>
  </cols>
  <sheetData>
    <row r="1" spans="1:2" ht="35.1" customHeight="1" x14ac:dyDescent="0.25">
      <c r="A1" s="99" t="s">
        <v>0</v>
      </c>
      <c r="B1" s="100" t="s">
        <v>1</v>
      </c>
    </row>
    <row r="2" spans="1:2" ht="42" customHeight="1" x14ac:dyDescent="0.25">
      <c r="A2" s="99" t="s">
        <v>2</v>
      </c>
      <c r="B2" s="101" t="s">
        <v>3</v>
      </c>
    </row>
    <row r="3" spans="1:2" ht="42" customHeight="1" x14ac:dyDescent="0.25">
      <c r="A3" s="99" t="s">
        <v>4</v>
      </c>
      <c r="B3" s="100" t="s">
        <v>5</v>
      </c>
    </row>
    <row r="4" spans="1:2" ht="42" customHeight="1" x14ac:dyDescent="0.25">
      <c r="A4" s="99" t="s">
        <v>6</v>
      </c>
      <c r="B4" s="101" t="s">
        <v>7</v>
      </c>
    </row>
    <row r="5" spans="1:2" ht="42" customHeight="1" x14ac:dyDescent="0.25">
      <c r="A5" s="99" t="s">
        <v>8</v>
      </c>
      <c r="B5" s="100" t="s">
        <v>9</v>
      </c>
    </row>
    <row r="6" spans="1:2" ht="42" customHeight="1" x14ac:dyDescent="0.25">
      <c r="A6" s="99" t="s">
        <v>10</v>
      </c>
      <c r="B6" s="101" t="s">
        <v>11</v>
      </c>
    </row>
    <row r="7" spans="1:2" ht="42" customHeight="1" x14ac:dyDescent="0.25">
      <c r="A7" s="99" t="s">
        <v>12</v>
      </c>
      <c r="B7" s="100" t="s">
        <v>13</v>
      </c>
    </row>
    <row r="8" spans="1:2" ht="42" customHeight="1" x14ac:dyDescent="0.25">
      <c r="A8" s="99" t="s">
        <v>14</v>
      </c>
      <c r="B8" s="101" t="s">
        <v>15</v>
      </c>
    </row>
    <row r="9" spans="1:2" ht="42" customHeight="1" x14ac:dyDescent="0.25">
      <c r="A9" s="99" t="s">
        <v>16</v>
      </c>
      <c r="B9" s="100" t="s">
        <v>17</v>
      </c>
    </row>
    <row r="10" spans="1:2" ht="42" customHeight="1" x14ac:dyDescent="0.25">
      <c r="A10" s="99" t="s">
        <v>18</v>
      </c>
      <c r="B10" s="101" t="s">
        <v>19</v>
      </c>
    </row>
    <row r="11" spans="1:2" ht="42" customHeight="1" x14ac:dyDescent="0.25">
      <c r="A11" s="99" t="s">
        <v>20</v>
      </c>
      <c r="B11" s="100"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showGridLines="0" workbookViewId="0"/>
  </sheetViews>
  <sheetFormatPr defaultRowHeight="15" x14ac:dyDescent="0.25"/>
  <cols>
    <col min="1" max="1" width="35" customWidth="1"/>
    <col min="2" max="2" width="28" customWidth="1"/>
    <col min="3" max="3" width="80" customWidth="1"/>
  </cols>
  <sheetData>
    <row r="1" spans="1:3" ht="35.1" customHeight="1" x14ac:dyDescent="0.25">
      <c r="A1" s="102" t="s">
        <v>22</v>
      </c>
      <c r="B1" s="102" t="s">
        <v>23</v>
      </c>
      <c r="C1" s="102" t="s">
        <v>24</v>
      </c>
    </row>
    <row r="2" spans="1:3" ht="42" customHeight="1" x14ac:dyDescent="0.25">
      <c r="A2" s="103" t="s">
        <v>25</v>
      </c>
      <c r="B2" s="103" t="s">
        <v>26</v>
      </c>
      <c r="C2" s="103" t="s">
        <v>27</v>
      </c>
    </row>
    <row r="3" spans="1:3" ht="42" customHeight="1" x14ac:dyDescent="0.25">
      <c r="A3" s="103" t="s">
        <v>28</v>
      </c>
      <c r="B3" s="103">
        <v>27</v>
      </c>
      <c r="C3" s="103" t="s">
        <v>29</v>
      </c>
    </row>
    <row r="4" spans="1:3" ht="42" customHeight="1" x14ac:dyDescent="0.25">
      <c r="A4" s="103" t="s">
        <v>30</v>
      </c>
      <c r="B4" s="104">
        <v>62807</v>
      </c>
      <c r="C4" s="103" t="s">
        <v>31</v>
      </c>
    </row>
    <row r="5" spans="1:3" ht="42" customHeight="1" x14ac:dyDescent="0.25">
      <c r="A5" s="103" t="s">
        <v>32</v>
      </c>
      <c r="B5" s="103">
        <v>16</v>
      </c>
      <c r="C5" s="103" t="s">
        <v>33</v>
      </c>
    </row>
    <row r="6" spans="1:3" ht="42" customHeight="1" x14ac:dyDescent="0.25">
      <c r="A6" s="103" t="s">
        <v>34</v>
      </c>
      <c r="B6" s="103">
        <v>6</v>
      </c>
      <c r="C6" s="103" t="s">
        <v>35</v>
      </c>
    </row>
    <row r="7" spans="1:3" ht="42" customHeight="1" x14ac:dyDescent="0.25">
      <c r="A7" s="103" t="s">
        <v>36</v>
      </c>
      <c r="B7" s="103">
        <v>2</v>
      </c>
      <c r="C7" s="103" t="s">
        <v>37</v>
      </c>
    </row>
    <row r="8" spans="1:3" ht="42" customHeight="1" x14ac:dyDescent="0.25">
      <c r="A8" s="103" t="s">
        <v>38</v>
      </c>
      <c r="B8" s="103">
        <v>1</v>
      </c>
      <c r="C8" s="103" t="s">
        <v>39</v>
      </c>
    </row>
    <row r="9" spans="1:3" ht="42" customHeight="1" x14ac:dyDescent="0.25">
      <c r="A9" s="103" t="s">
        <v>40</v>
      </c>
      <c r="B9" s="103">
        <v>1</v>
      </c>
      <c r="C9" s="103" t="s">
        <v>41</v>
      </c>
    </row>
    <row r="10" spans="1:3" ht="42" customHeight="1" x14ac:dyDescent="0.25">
      <c r="A10" s="103" t="s">
        <v>42</v>
      </c>
      <c r="B10" s="103">
        <v>23</v>
      </c>
      <c r="C10" s="103" t="s">
        <v>43</v>
      </c>
    </row>
    <row r="11" spans="1:3" ht="42" customHeight="1" x14ac:dyDescent="0.25">
      <c r="A11" s="103" t="s">
        <v>44</v>
      </c>
      <c r="B11" s="103" t="s">
        <v>45</v>
      </c>
      <c r="C11" s="103" t="s">
        <v>46</v>
      </c>
    </row>
    <row r="12" spans="1:3" ht="42" customHeight="1" x14ac:dyDescent="0.25">
      <c r="A12" s="103" t="s">
        <v>47</v>
      </c>
      <c r="B12" s="103">
        <v>2</v>
      </c>
      <c r="C12" s="103" t="s">
        <v>48</v>
      </c>
    </row>
    <row r="13" spans="1:3" ht="42" customHeight="1" x14ac:dyDescent="0.25">
      <c r="A13" s="103" t="s">
        <v>49</v>
      </c>
      <c r="B13" s="103" t="s">
        <v>50</v>
      </c>
      <c r="C13" s="103"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showGridLines="0" workbookViewId="0"/>
  </sheetViews>
  <sheetFormatPr defaultRowHeight="15" x14ac:dyDescent="0.25"/>
  <cols>
    <col min="1" max="1" width="32" customWidth="1"/>
    <col min="2" max="2" width="110" customWidth="1"/>
  </cols>
  <sheetData>
    <row r="1" spans="1:2" x14ac:dyDescent="0.25">
      <c r="A1" s="99" t="s">
        <v>52</v>
      </c>
      <c r="B1" s="99" t="s">
        <v>53</v>
      </c>
    </row>
    <row r="2" spans="1:2" x14ac:dyDescent="0.25">
      <c r="A2" s="109" t="s">
        <v>54</v>
      </c>
      <c r="B2" s="103" t="s">
        <v>55</v>
      </c>
    </row>
    <row r="3" spans="1:2" x14ac:dyDescent="0.25">
      <c r="A3" s="109" t="s">
        <v>56</v>
      </c>
      <c r="B3" s="103" t="s">
        <v>57</v>
      </c>
    </row>
    <row r="4" spans="1:2" x14ac:dyDescent="0.25">
      <c r="A4" s="109" t="s">
        <v>58</v>
      </c>
      <c r="B4" s="103" t="s">
        <v>59</v>
      </c>
    </row>
    <row r="5" spans="1:2" x14ac:dyDescent="0.25">
      <c r="A5" s="109" t="s">
        <v>60</v>
      </c>
      <c r="B5" s="103" t="s">
        <v>61</v>
      </c>
    </row>
    <row r="6" spans="1:2" x14ac:dyDescent="0.25">
      <c r="A6" s="109" t="s">
        <v>62</v>
      </c>
      <c r="B6" s="103" t="s">
        <v>63</v>
      </c>
    </row>
    <row r="7" spans="1:2" x14ac:dyDescent="0.25">
      <c r="A7" s="109" t="s">
        <v>64</v>
      </c>
      <c r="B7" s="103" t="s">
        <v>65</v>
      </c>
    </row>
    <row r="8" spans="1:2" x14ac:dyDescent="0.25">
      <c r="A8" s="109" t="s">
        <v>66</v>
      </c>
      <c r="B8" s="103" t="s">
        <v>67</v>
      </c>
    </row>
    <row r="9" spans="1:2" x14ac:dyDescent="0.25">
      <c r="A9" s="109" t="s">
        <v>68</v>
      </c>
      <c r="B9" s="103" t="s">
        <v>69</v>
      </c>
    </row>
    <row r="10" spans="1:2" ht="30" x14ac:dyDescent="0.25">
      <c r="A10" s="109" t="s">
        <v>70</v>
      </c>
      <c r="B10" s="103" t="s">
        <v>71</v>
      </c>
    </row>
    <row r="11" spans="1:2" ht="30" x14ac:dyDescent="0.25">
      <c r="A11" s="109" t="s">
        <v>72</v>
      </c>
      <c r="B11" s="103" t="s">
        <v>73</v>
      </c>
    </row>
    <row r="12" spans="1:2" ht="30" x14ac:dyDescent="0.25">
      <c r="A12" s="109" t="s">
        <v>74</v>
      </c>
      <c r="B12" s="103"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showGridLines="0" workbookViewId="0"/>
  </sheetViews>
  <sheetFormatPr defaultRowHeight="15" x14ac:dyDescent="0.25"/>
  <cols>
    <col min="1" max="2" width="12" customWidth="1"/>
    <col min="3" max="3" width="19" customWidth="1"/>
    <col min="4" max="4" width="18" customWidth="1"/>
    <col min="5" max="5" width="24" customWidth="1"/>
    <col min="6" max="7" width="45" customWidth="1"/>
    <col min="8" max="8" width="12" customWidth="1"/>
    <col min="9" max="9" width="22" customWidth="1"/>
    <col min="10" max="10" width="18" customWidth="1"/>
    <col min="11" max="11" width="45" customWidth="1"/>
    <col min="12" max="12" width="35" customWidth="1"/>
  </cols>
  <sheetData>
    <row r="1" spans="1:12" ht="35.1" customHeight="1" x14ac:dyDescent="0.25">
      <c r="A1" s="102" t="s">
        <v>76</v>
      </c>
      <c r="B1" s="102" t="s">
        <v>77</v>
      </c>
      <c r="C1" s="102" t="s">
        <v>78</v>
      </c>
      <c r="D1" s="102" t="s">
        <v>79</v>
      </c>
      <c r="E1" s="102" t="s">
        <v>80</v>
      </c>
      <c r="F1" s="102" t="s">
        <v>81</v>
      </c>
      <c r="G1" s="102" t="s">
        <v>82</v>
      </c>
      <c r="H1" s="102" t="s">
        <v>83</v>
      </c>
      <c r="I1" s="102" t="s">
        <v>84</v>
      </c>
      <c r="J1" s="102" t="s">
        <v>85</v>
      </c>
      <c r="K1" s="102" t="s">
        <v>86</v>
      </c>
      <c r="L1" s="102" t="s">
        <v>87</v>
      </c>
    </row>
    <row r="2" spans="1:12" ht="42" customHeight="1" x14ac:dyDescent="0.25">
      <c r="A2" s="105" t="s">
        <v>88</v>
      </c>
      <c r="B2" s="105" t="s">
        <v>89</v>
      </c>
      <c r="C2" s="103" t="s">
        <v>89</v>
      </c>
      <c r="D2" s="105" t="s">
        <v>90</v>
      </c>
      <c r="E2" s="103" t="s">
        <v>91</v>
      </c>
      <c r="F2" s="103" t="s">
        <v>92</v>
      </c>
      <c r="G2" s="103" t="s">
        <v>93</v>
      </c>
      <c r="H2" s="103" t="s">
        <v>94</v>
      </c>
      <c r="I2" s="105" t="s">
        <v>95</v>
      </c>
      <c r="J2" s="105" t="s">
        <v>96</v>
      </c>
      <c r="K2" s="103" t="s">
        <v>97</v>
      </c>
      <c r="L2" s="103" t="s">
        <v>98</v>
      </c>
    </row>
    <row r="3" spans="1:12" ht="42" customHeight="1" x14ac:dyDescent="0.25">
      <c r="A3" s="105" t="s">
        <v>88</v>
      </c>
      <c r="B3" s="105" t="s">
        <v>99</v>
      </c>
      <c r="C3" s="103" t="s">
        <v>99</v>
      </c>
      <c r="D3" s="105" t="s">
        <v>90</v>
      </c>
      <c r="E3" s="103" t="s">
        <v>100</v>
      </c>
      <c r="F3" s="103" t="s">
        <v>101</v>
      </c>
      <c r="G3" s="103" t="s">
        <v>93</v>
      </c>
      <c r="H3" s="103" t="s">
        <v>102</v>
      </c>
      <c r="I3" s="105" t="s">
        <v>95</v>
      </c>
      <c r="J3" s="105" t="s">
        <v>96</v>
      </c>
      <c r="K3" s="103" t="s">
        <v>97</v>
      </c>
      <c r="L3" s="103" t="s">
        <v>98</v>
      </c>
    </row>
    <row r="4" spans="1:12" ht="42" customHeight="1" x14ac:dyDescent="0.25">
      <c r="A4" s="105" t="s">
        <v>88</v>
      </c>
      <c r="B4" s="105" t="s">
        <v>103</v>
      </c>
      <c r="C4" s="103" t="s">
        <v>103</v>
      </c>
      <c r="D4" s="105" t="s">
        <v>90</v>
      </c>
      <c r="E4" s="103" t="s">
        <v>104</v>
      </c>
      <c r="F4" s="103" t="s">
        <v>96</v>
      </c>
      <c r="G4" s="103" t="s">
        <v>93</v>
      </c>
      <c r="H4" s="103" t="s">
        <v>105</v>
      </c>
      <c r="I4" s="105" t="s">
        <v>95</v>
      </c>
      <c r="J4" s="105" t="s">
        <v>96</v>
      </c>
      <c r="K4" s="103" t="s">
        <v>97</v>
      </c>
      <c r="L4" s="103" t="s">
        <v>98</v>
      </c>
    </row>
    <row r="5" spans="1:12" ht="42" customHeight="1" x14ac:dyDescent="0.25">
      <c r="A5" s="105" t="s">
        <v>88</v>
      </c>
      <c r="B5" s="105" t="s">
        <v>106</v>
      </c>
      <c r="C5" s="103" t="s">
        <v>106</v>
      </c>
      <c r="D5" s="105" t="s">
        <v>90</v>
      </c>
      <c r="E5" s="103" t="s">
        <v>107</v>
      </c>
      <c r="F5" s="103" t="s">
        <v>108</v>
      </c>
      <c r="G5" s="103" t="s">
        <v>93</v>
      </c>
      <c r="H5" s="103" t="s">
        <v>105</v>
      </c>
      <c r="I5" s="105" t="s">
        <v>95</v>
      </c>
      <c r="J5" s="105" t="s">
        <v>96</v>
      </c>
      <c r="K5" s="103" t="s">
        <v>97</v>
      </c>
      <c r="L5" s="103" t="s">
        <v>98</v>
      </c>
    </row>
    <row r="6" spans="1:12" ht="42" customHeight="1" x14ac:dyDescent="0.25">
      <c r="A6" s="105" t="s">
        <v>88</v>
      </c>
      <c r="B6" s="105" t="s">
        <v>109</v>
      </c>
      <c r="C6" s="103" t="s">
        <v>109</v>
      </c>
      <c r="D6" s="105" t="s">
        <v>90</v>
      </c>
      <c r="E6" s="103" t="s">
        <v>110</v>
      </c>
      <c r="F6" s="103" t="s">
        <v>96</v>
      </c>
      <c r="G6" s="103" t="s">
        <v>93</v>
      </c>
      <c r="H6" s="103" t="s">
        <v>105</v>
      </c>
      <c r="I6" s="105" t="s">
        <v>95</v>
      </c>
      <c r="J6" s="105" t="s">
        <v>96</v>
      </c>
      <c r="K6" s="103" t="s">
        <v>97</v>
      </c>
      <c r="L6" s="103" t="s">
        <v>98</v>
      </c>
    </row>
    <row r="7" spans="1:12" ht="42" customHeight="1" x14ac:dyDescent="0.25">
      <c r="A7" s="105" t="s">
        <v>88</v>
      </c>
      <c r="B7" s="105" t="s">
        <v>111</v>
      </c>
      <c r="C7" s="103" t="s">
        <v>111</v>
      </c>
      <c r="D7" s="105" t="s">
        <v>112</v>
      </c>
      <c r="E7" s="103" t="s">
        <v>113</v>
      </c>
      <c r="F7" s="103" t="s">
        <v>114</v>
      </c>
      <c r="G7" s="103" t="s">
        <v>115</v>
      </c>
      <c r="H7" s="103" t="s">
        <v>116</v>
      </c>
      <c r="I7" s="105" t="s">
        <v>95</v>
      </c>
      <c r="J7" s="105" t="s">
        <v>96</v>
      </c>
      <c r="K7" s="103" t="s">
        <v>97</v>
      </c>
      <c r="L7" s="103" t="s">
        <v>98</v>
      </c>
    </row>
    <row r="8" spans="1:12" ht="42" customHeight="1" x14ac:dyDescent="0.25">
      <c r="A8" s="105" t="s">
        <v>88</v>
      </c>
      <c r="B8" s="105" t="s">
        <v>117</v>
      </c>
      <c r="C8" s="103" t="s">
        <v>117</v>
      </c>
      <c r="D8" s="105" t="s">
        <v>90</v>
      </c>
      <c r="E8" s="103" t="s">
        <v>118</v>
      </c>
      <c r="F8" s="103" t="s">
        <v>119</v>
      </c>
      <c r="G8" s="103" t="s">
        <v>93</v>
      </c>
      <c r="H8" s="103" t="s">
        <v>120</v>
      </c>
      <c r="I8" s="105" t="s">
        <v>95</v>
      </c>
      <c r="J8" s="105" t="s">
        <v>96</v>
      </c>
      <c r="K8" s="103" t="s">
        <v>97</v>
      </c>
      <c r="L8" s="103" t="s">
        <v>98</v>
      </c>
    </row>
    <row r="9" spans="1:12" ht="42" customHeight="1" x14ac:dyDescent="0.25">
      <c r="A9" s="105" t="s">
        <v>88</v>
      </c>
      <c r="B9" s="105" t="s">
        <v>121</v>
      </c>
      <c r="C9" s="103" t="s">
        <v>121</v>
      </c>
      <c r="D9" s="105" t="s">
        <v>122</v>
      </c>
      <c r="E9" s="103" t="s">
        <v>123</v>
      </c>
      <c r="F9" s="103" t="s">
        <v>124</v>
      </c>
      <c r="G9" s="103" t="s">
        <v>125</v>
      </c>
      <c r="H9" s="103" t="s">
        <v>126</v>
      </c>
      <c r="I9" s="105" t="s">
        <v>95</v>
      </c>
      <c r="J9" s="105" t="s">
        <v>96</v>
      </c>
      <c r="K9" s="103" t="s">
        <v>97</v>
      </c>
      <c r="L9" s="103" t="s">
        <v>98</v>
      </c>
    </row>
    <row r="10" spans="1:12" ht="42" customHeight="1" x14ac:dyDescent="0.25">
      <c r="A10" s="105" t="s">
        <v>88</v>
      </c>
      <c r="B10" s="105" t="s">
        <v>127</v>
      </c>
      <c r="C10" s="103" t="s">
        <v>127</v>
      </c>
      <c r="D10" s="105" t="s">
        <v>128</v>
      </c>
      <c r="E10" s="103" t="s">
        <v>129</v>
      </c>
      <c r="F10" s="103" t="s">
        <v>130</v>
      </c>
      <c r="G10" s="103" t="s">
        <v>131</v>
      </c>
      <c r="H10" s="103" t="s">
        <v>132</v>
      </c>
      <c r="I10" s="105" t="s">
        <v>95</v>
      </c>
      <c r="J10" s="105" t="s">
        <v>96</v>
      </c>
      <c r="K10" s="103" t="s">
        <v>97</v>
      </c>
      <c r="L10" s="103" t="s">
        <v>98</v>
      </c>
    </row>
    <row r="11" spans="1:12" ht="42" customHeight="1" x14ac:dyDescent="0.25">
      <c r="A11" s="106" t="s">
        <v>133</v>
      </c>
      <c r="B11" s="106" t="s">
        <v>134</v>
      </c>
      <c r="C11" s="103" t="s">
        <v>135</v>
      </c>
      <c r="D11" s="106" t="s">
        <v>128</v>
      </c>
      <c r="E11" s="103" t="s">
        <v>136</v>
      </c>
      <c r="F11" s="103" t="s">
        <v>137</v>
      </c>
      <c r="G11" s="103" t="s">
        <v>138</v>
      </c>
      <c r="H11" s="103" t="s">
        <v>132</v>
      </c>
      <c r="I11" s="106" t="s">
        <v>95</v>
      </c>
      <c r="J11" s="106" t="s">
        <v>96</v>
      </c>
      <c r="K11" s="103" t="s">
        <v>97</v>
      </c>
      <c r="L11" s="103" t="s">
        <v>98</v>
      </c>
    </row>
    <row r="12" spans="1:12" ht="42" customHeight="1" x14ac:dyDescent="0.25">
      <c r="A12" s="106" t="s">
        <v>133</v>
      </c>
      <c r="B12" s="106" t="s">
        <v>139</v>
      </c>
      <c r="C12" s="103" t="s">
        <v>139</v>
      </c>
      <c r="D12" s="106" t="s">
        <v>128</v>
      </c>
      <c r="E12" s="103" t="s">
        <v>140</v>
      </c>
      <c r="F12" s="103" t="s">
        <v>141</v>
      </c>
      <c r="G12" s="103" t="s">
        <v>142</v>
      </c>
      <c r="H12" s="103" t="s">
        <v>132</v>
      </c>
      <c r="I12" s="106" t="s">
        <v>95</v>
      </c>
      <c r="J12" s="106" t="s">
        <v>96</v>
      </c>
      <c r="K12" s="103" t="s">
        <v>97</v>
      </c>
      <c r="L12" s="103" t="s">
        <v>98</v>
      </c>
    </row>
    <row r="13" spans="1:12" ht="42" customHeight="1" x14ac:dyDescent="0.25">
      <c r="A13" s="106" t="s">
        <v>133</v>
      </c>
      <c r="B13" s="106" t="s">
        <v>143</v>
      </c>
      <c r="C13" s="103" t="s">
        <v>143</v>
      </c>
      <c r="D13" s="106" t="s">
        <v>128</v>
      </c>
      <c r="E13" s="103" t="s">
        <v>144</v>
      </c>
      <c r="F13" s="103" t="s">
        <v>145</v>
      </c>
      <c r="G13" s="103" t="s">
        <v>146</v>
      </c>
      <c r="H13" s="103" t="s">
        <v>132</v>
      </c>
      <c r="I13" s="106" t="s">
        <v>95</v>
      </c>
      <c r="J13" s="106" t="s">
        <v>96</v>
      </c>
      <c r="K13" s="103" t="s">
        <v>97</v>
      </c>
      <c r="L13" s="103" t="s">
        <v>98</v>
      </c>
    </row>
    <row r="14" spans="1:12" ht="42" customHeight="1" x14ac:dyDescent="0.25">
      <c r="A14" s="106" t="s">
        <v>133</v>
      </c>
      <c r="B14" s="106" t="s">
        <v>147</v>
      </c>
      <c r="C14" s="103" t="s">
        <v>148</v>
      </c>
      <c r="D14" s="106" t="s">
        <v>128</v>
      </c>
      <c r="E14" s="103" t="s">
        <v>149</v>
      </c>
      <c r="F14" s="103" t="s">
        <v>150</v>
      </c>
      <c r="G14" s="103" t="s">
        <v>151</v>
      </c>
      <c r="H14" s="103" t="s">
        <v>132</v>
      </c>
      <c r="I14" s="106" t="s">
        <v>95</v>
      </c>
      <c r="J14" s="106" t="s">
        <v>96</v>
      </c>
      <c r="K14" s="103" t="s">
        <v>97</v>
      </c>
      <c r="L14" s="103" t="s">
        <v>98</v>
      </c>
    </row>
    <row r="15" spans="1:12" ht="42" customHeight="1" x14ac:dyDescent="0.25">
      <c r="A15" s="106" t="s">
        <v>133</v>
      </c>
      <c r="B15" s="106" t="s">
        <v>152</v>
      </c>
      <c r="C15" s="103" t="s">
        <v>153</v>
      </c>
      <c r="D15" s="106" t="s">
        <v>128</v>
      </c>
      <c r="E15" s="103" t="s">
        <v>154</v>
      </c>
      <c r="F15" s="103" t="s">
        <v>155</v>
      </c>
      <c r="G15" s="103" t="s">
        <v>156</v>
      </c>
      <c r="H15" s="103" t="s">
        <v>132</v>
      </c>
      <c r="I15" s="106" t="s">
        <v>95</v>
      </c>
      <c r="J15" s="106" t="s">
        <v>96</v>
      </c>
      <c r="K15" s="103" t="s">
        <v>97</v>
      </c>
      <c r="L15" s="103" t="s">
        <v>98</v>
      </c>
    </row>
    <row r="16" spans="1:12" ht="42" customHeight="1" x14ac:dyDescent="0.25">
      <c r="A16" s="106" t="s">
        <v>133</v>
      </c>
      <c r="B16" s="106" t="s">
        <v>157</v>
      </c>
      <c r="C16" s="103" t="s">
        <v>157</v>
      </c>
      <c r="D16" s="106" t="s">
        <v>128</v>
      </c>
      <c r="E16" s="103" t="s">
        <v>158</v>
      </c>
      <c r="F16" s="103" t="s">
        <v>159</v>
      </c>
      <c r="G16" s="103" t="s">
        <v>160</v>
      </c>
      <c r="H16" s="103" t="s">
        <v>132</v>
      </c>
      <c r="I16" s="106" t="s">
        <v>95</v>
      </c>
      <c r="J16" s="106" t="s">
        <v>96</v>
      </c>
      <c r="K16" s="103" t="s">
        <v>97</v>
      </c>
      <c r="L16" s="103" t="s">
        <v>98</v>
      </c>
    </row>
    <row r="17" spans="1:12" ht="42" customHeight="1" x14ac:dyDescent="0.25">
      <c r="A17" s="106" t="s">
        <v>133</v>
      </c>
      <c r="B17" s="106" t="s">
        <v>161</v>
      </c>
      <c r="C17" s="103" t="s">
        <v>161</v>
      </c>
      <c r="D17" s="106" t="s">
        <v>162</v>
      </c>
      <c r="E17" s="103" t="s">
        <v>163</v>
      </c>
      <c r="F17" s="103" t="s">
        <v>96</v>
      </c>
      <c r="G17" s="103" t="s">
        <v>164</v>
      </c>
      <c r="H17" s="103" t="s">
        <v>165</v>
      </c>
      <c r="I17" s="106" t="s">
        <v>95</v>
      </c>
      <c r="J17" s="106" t="s">
        <v>96</v>
      </c>
      <c r="K17" s="103" t="s">
        <v>97</v>
      </c>
      <c r="L17" s="103" t="s">
        <v>98</v>
      </c>
    </row>
    <row r="18" spans="1:12" ht="42" customHeight="1" x14ac:dyDescent="0.25">
      <c r="A18" s="106" t="s">
        <v>133</v>
      </c>
      <c r="B18" s="106" t="s">
        <v>166</v>
      </c>
      <c r="C18" s="103" t="s">
        <v>166</v>
      </c>
      <c r="D18" s="106" t="s">
        <v>167</v>
      </c>
      <c r="E18" s="103" t="s">
        <v>168</v>
      </c>
      <c r="F18" s="103" t="s">
        <v>169</v>
      </c>
      <c r="G18" s="103" t="s">
        <v>170</v>
      </c>
      <c r="H18" s="103" t="s">
        <v>132</v>
      </c>
      <c r="I18" s="106" t="s">
        <v>95</v>
      </c>
      <c r="J18" s="106" t="s">
        <v>96</v>
      </c>
      <c r="K18" s="103" t="s">
        <v>97</v>
      </c>
      <c r="L18" s="103" t="s">
        <v>98</v>
      </c>
    </row>
    <row r="19" spans="1:12" ht="42" customHeight="1" x14ac:dyDescent="0.25">
      <c r="A19" s="106" t="s">
        <v>133</v>
      </c>
      <c r="B19" s="106" t="s">
        <v>171</v>
      </c>
      <c r="C19" s="103" t="s">
        <v>171</v>
      </c>
      <c r="D19" s="106" t="s">
        <v>128</v>
      </c>
      <c r="E19" s="103" t="s">
        <v>172</v>
      </c>
      <c r="F19" s="103" t="s">
        <v>173</v>
      </c>
      <c r="G19" s="103" t="s">
        <v>174</v>
      </c>
      <c r="H19" s="103" t="s">
        <v>132</v>
      </c>
      <c r="I19" s="106" t="s">
        <v>95</v>
      </c>
      <c r="J19" s="106" t="s">
        <v>96</v>
      </c>
      <c r="K19" s="103" t="s">
        <v>97</v>
      </c>
      <c r="L19" s="103" t="s">
        <v>98</v>
      </c>
    </row>
    <row r="20" spans="1:12" ht="42" customHeight="1" x14ac:dyDescent="0.25">
      <c r="A20" s="106" t="s">
        <v>133</v>
      </c>
      <c r="B20" s="106" t="s">
        <v>175</v>
      </c>
      <c r="C20" s="103" t="s">
        <v>176</v>
      </c>
      <c r="D20" s="106" t="s">
        <v>128</v>
      </c>
      <c r="E20" s="103" t="s">
        <v>177</v>
      </c>
      <c r="F20" s="103" t="s">
        <v>178</v>
      </c>
      <c r="G20" s="103" t="s">
        <v>179</v>
      </c>
      <c r="H20" s="103" t="s">
        <v>132</v>
      </c>
      <c r="I20" s="106" t="s">
        <v>95</v>
      </c>
      <c r="J20" s="106" t="s">
        <v>96</v>
      </c>
      <c r="K20" s="103" t="s">
        <v>97</v>
      </c>
      <c r="L20" s="103" t="s">
        <v>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G28"/>
  <sheetViews>
    <sheetView showGridLines="0" tabSelected="1" topLeftCell="L1" workbookViewId="0">
      <selection activeCell="S1" sqref="S1:T28"/>
    </sheetView>
  </sheetViews>
  <sheetFormatPr defaultColWidth="33.7109375" defaultRowHeight="15" x14ac:dyDescent="0.25"/>
  <cols>
    <col min="1" max="1" width="16" style="120" customWidth="1"/>
    <col min="2" max="2" width="10.85546875" style="120" customWidth="1"/>
    <col min="3" max="3" width="10.7109375" style="120" customWidth="1"/>
    <col min="4" max="4" width="25.42578125" style="120" customWidth="1"/>
    <col min="5" max="5" width="29.42578125" style="120" customWidth="1"/>
    <col min="6" max="6" width="33.7109375" style="120" customWidth="1"/>
    <col min="7" max="16384" width="33.7109375" style="120"/>
  </cols>
  <sheetData>
    <row r="1" spans="1:59" s="133" customFormat="1" ht="35.1" customHeight="1" x14ac:dyDescent="0.25">
      <c r="A1" s="132" t="s">
        <v>180</v>
      </c>
      <c r="B1" s="132" t="s">
        <v>77</v>
      </c>
      <c r="C1" s="132" t="s">
        <v>181</v>
      </c>
      <c r="D1" s="132" t="s">
        <v>182</v>
      </c>
      <c r="E1" s="132" t="s">
        <v>183</v>
      </c>
      <c r="F1" s="132" t="s">
        <v>184</v>
      </c>
      <c r="G1" s="132" t="s">
        <v>185</v>
      </c>
      <c r="H1" s="132" t="s">
        <v>78</v>
      </c>
      <c r="I1" s="132" t="s">
        <v>186</v>
      </c>
      <c r="J1" s="132" t="s">
        <v>187</v>
      </c>
      <c r="K1" s="132" t="s">
        <v>188</v>
      </c>
      <c r="L1" s="132" t="s">
        <v>84</v>
      </c>
      <c r="M1" s="132" t="s">
        <v>189</v>
      </c>
      <c r="N1" s="132" t="s">
        <v>82</v>
      </c>
      <c r="O1" s="132" t="s">
        <v>190</v>
      </c>
      <c r="P1" s="132" t="s">
        <v>191</v>
      </c>
      <c r="Q1" s="132" t="s">
        <v>192</v>
      </c>
      <c r="R1" s="132" t="s">
        <v>193</v>
      </c>
      <c r="S1" s="132" t="s">
        <v>194</v>
      </c>
      <c r="T1" s="132" t="s">
        <v>195</v>
      </c>
      <c r="U1" s="132"/>
      <c r="V1" s="132" t="s">
        <v>196</v>
      </c>
      <c r="W1" s="132" t="s">
        <v>197</v>
      </c>
      <c r="X1" s="132" t="s">
        <v>198</v>
      </c>
      <c r="Y1" s="132" t="s">
        <v>199</v>
      </c>
      <c r="Z1" s="132"/>
      <c r="AA1" s="132" t="s">
        <v>200</v>
      </c>
      <c r="AB1" s="132" t="s">
        <v>201</v>
      </c>
      <c r="AC1" s="132" t="s">
        <v>202</v>
      </c>
      <c r="AD1" s="132" t="s">
        <v>203</v>
      </c>
      <c r="AE1" s="132" t="s">
        <v>204</v>
      </c>
      <c r="AF1" s="132" t="s">
        <v>205</v>
      </c>
      <c r="AG1" s="132" t="s">
        <v>206</v>
      </c>
      <c r="AH1" s="132" t="s">
        <v>207</v>
      </c>
      <c r="AI1" s="132" t="s">
        <v>208</v>
      </c>
      <c r="AJ1" s="132" t="s">
        <v>209</v>
      </c>
      <c r="AK1" s="132" t="s">
        <v>210</v>
      </c>
      <c r="AL1" s="132" t="s">
        <v>211</v>
      </c>
      <c r="AM1" s="132" t="s">
        <v>212</v>
      </c>
      <c r="AN1" s="132" t="s">
        <v>213</v>
      </c>
      <c r="AO1" s="132" t="s">
        <v>214</v>
      </c>
      <c r="AP1" s="132" t="s">
        <v>215</v>
      </c>
      <c r="AQ1" s="132" t="s">
        <v>216</v>
      </c>
      <c r="AR1" s="132" t="s">
        <v>217</v>
      </c>
      <c r="AS1" s="132" t="s">
        <v>218</v>
      </c>
      <c r="AT1" s="132" t="s">
        <v>219</v>
      </c>
      <c r="AU1" s="132" t="s">
        <v>220</v>
      </c>
      <c r="AV1" s="132" t="s">
        <v>221</v>
      </c>
      <c r="AW1" s="132" t="s">
        <v>222</v>
      </c>
      <c r="AX1" s="132" t="s">
        <v>223</v>
      </c>
      <c r="AY1" s="132" t="s">
        <v>224</v>
      </c>
      <c r="AZ1" s="132" t="s">
        <v>225</v>
      </c>
      <c r="BA1" s="132" t="s">
        <v>226</v>
      </c>
      <c r="BB1" s="132" t="s">
        <v>227</v>
      </c>
      <c r="BC1" s="132" t="s">
        <v>228</v>
      </c>
      <c r="BD1" s="132" t="s">
        <v>229</v>
      </c>
      <c r="BE1" s="132" t="s">
        <v>87</v>
      </c>
      <c r="BF1" s="132" t="s">
        <v>230</v>
      </c>
      <c r="BG1" s="132" t="s">
        <v>231</v>
      </c>
    </row>
    <row r="2" spans="1:59" ht="42" customHeight="1" x14ac:dyDescent="0.25">
      <c r="A2" s="121" t="s">
        <v>77</v>
      </c>
      <c r="B2" s="122" t="s">
        <v>134</v>
      </c>
      <c r="C2" s="123">
        <v>1</v>
      </c>
      <c r="D2" s="122" t="s">
        <v>232</v>
      </c>
      <c r="E2" s="124" t="s">
        <v>232</v>
      </c>
      <c r="F2" s="124" t="s">
        <v>233</v>
      </c>
      <c r="G2" s="121" t="s">
        <v>232</v>
      </c>
      <c r="H2" s="121" t="s">
        <v>135</v>
      </c>
      <c r="I2" s="121" t="s">
        <v>95</v>
      </c>
      <c r="J2" s="122" t="s">
        <v>234</v>
      </c>
      <c r="K2" s="121" t="s">
        <v>132</v>
      </c>
      <c r="L2" s="122" t="s">
        <v>95</v>
      </c>
      <c r="M2" s="122" t="s">
        <v>128</v>
      </c>
      <c r="N2" s="122" t="s">
        <v>138</v>
      </c>
      <c r="O2" s="122" t="s">
        <v>235</v>
      </c>
      <c r="P2" s="125">
        <v>6877</v>
      </c>
      <c r="Q2" s="123">
        <v>9931</v>
      </c>
      <c r="R2" s="126">
        <v>0.69247809888228784</v>
      </c>
      <c r="S2" s="127">
        <v>44652</v>
      </c>
      <c r="T2" s="127">
        <v>46446</v>
      </c>
      <c r="U2" s="134">
        <f>DATEDIF(S2, T2, "m")</f>
        <v>58</v>
      </c>
      <c r="V2" s="121" t="s">
        <v>236</v>
      </c>
      <c r="W2" s="121" t="s">
        <v>237</v>
      </c>
      <c r="X2" s="127">
        <v>44743</v>
      </c>
      <c r="Y2" s="127">
        <v>46446</v>
      </c>
      <c r="Z2" s="134">
        <f>DATEDIF(X2, Y2, "m")</f>
        <v>55</v>
      </c>
      <c r="AA2" s="128">
        <v>12699.57</v>
      </c>
      <c r="AB2" s="128">
        <v>1737.4</v>
      </c>
      <c r="AC2" s="128">
        <v>744.6</v>
      </c>
      <c r="AD2" s="128">
        <v>827.33333333333337</v>
      </c>
      <c r="AE2" s="128">
        <f t="shared" ref="AE2:AE26" si="0">IF(COUNTA(AB2:AD2)=0,"",SUM(AB2:AD2))</f>
        <v>3309.3333333333335</v>
      </c>
      <c r="AF2" s="128">
        <v>16008.90333333333</v>
      </c>
      <c r="AG2" s="129">
        <v>15.35</v>
      </c>
      <c r="AH2" s="129">
        <v>19.350000000000001</v>
      </c>
      <c r="AI2" s="129">
        <f t="shared" ref="AI2:AI26" si="1">IF(OR(AA2="",Q2="",Q2=0),"",ROUND(AA2*12/Q2,2))</f>
        <v>15.35</v>
      </c>
      <c r="AJ2" s="129">
        <f t="shared" ref="AJ2:AJ26" si="2">IF(OR(AF2="",Q2="",Q2=0),"",ROUND(AF2*12/Q2,2))</f>
        <v>19.34</v>
      </c>
      <c r="AK2" s="128">
        <f t="shared" ref="AK2:AK28" si="3">IF(OR(AA2="",R2=""),"",ROUND(AA2*R2,2))</f>
        <v>8794.17</v>
      </c>
      <c r="AL2" s="128">
        <f t="shared" ref="AL2:AL28" si="4">IF(OR(AB2="",R2=""),"",ROUND(AB2*R2,2))</f>
        <v>1203.1099999999999</v>
      </c>
      <c r="AM2" s="128">
        <f t="shared" ref="AM2:AM28" si="5">IF(OR(AC2="",R2=""),"",ROUND(AC2*R2,2))</f>
        <v>515.62</v>
      </c>
      <c r="AN2" s="128">
        <f t="shared" ref="AN2:AN28" si="6">IF(OR(AD2="",R2=""),"",ROUND(AD2*R2,2))</f>
        <v>572.91</v>
      </c>
      <c r="AO2" s="128">
        <f t="shared" ref="AO2:AO28" si="7">IF(OR(AE2="",R2=""),"",ROUND(AE2*R2,2))</f>
        <v>2291.64</v>
      </c>
      <c r="AP2" s="128">
        <v>11085.81</v>
      </c>
      <c r="AQ2" s="128">
        <v>12699.57</v>
      </c>
      <c r="AR2" s="128">
        <v>17494.37</v>
      </c>
      <c r="AS2" s="121" t="s">
        <v>238</v>
      </c>
      <c r="AT2" s="121" t="s">
        <v>239</v>
      </c>
      <c r="AU2" s="128" t="s">
        <v>240</v>
      </c>
      <c r="AV2" s="121" t="s">
        <v>241</v>
      </c>
      <c r="AW2" s="121" t="s">
        <v>242</v>
      </c>
      <c r="AX2" s="121" t="s">
        <v>243</v>
      </c>
      <c r="AY2" s="121" t="s">
        <v>244</v>
      </c>
      <c r="AZ2" s="124" t="s">
        <v>245</v>
      </c>
      <c r="BA2" s="124" t="s">
        <v>246</v>
      </c>
      <c r="BB2" s="124" t="s">
        <v>247</v>
      </c>
      <c r="BC2" s="121" t="s">
        <v>248</v>
      </c>
      <c r="BD2" s="121" t="s">
        <v>249</v>
      </c>
      <c r="BE2" s="124" t="s">
        <v>98</v>
      </c>
      <c r="BF2" s="122" t="s">
        <v>137</v>
      </c>
      <c r="BG2" s="127">
        <v>46153</v>
      </c>
    </row>
    <row r="3" spans="1:59" ht="42" customHeight="1" x14ac:dyDescent="0.25">
      <c r="A3" s="121" t="s">
        <v>77</v>
      </c>
      <c r="B3" s="122" t="s">
        <v>250</v>
      </c>
      <c r="C3" s="123">
        <v>2</v>
      </c>
      <c r="D3" s="122" t="s">
        <v>232</v>
      </c>
      <c r="E3" s="124" t="s">
        <v>232</v>
      </c>
      <c r="F3" s="124" t="s">
        <v>233</v>
      </c>
      <c r="G3" s="121" t="s">
        <v>232</v>
      </c>
      <c r="H3" s="121" t="s">
        <v>135</v>
      </c>
      <c r="I3" s="121" t="s">
        <v>95</v>
      </c>
      <c r="J3" s="122" t="s">
        <v>234</v>
      </c>
      <c r="K3" s="121" t="s">
        <v>132</v>
      </c>
      <c r="L3" s="122" t="s">
        <v>95</v>
      </c>
      <c r="M3" s="122" t="s">
        <v>128</v>
      </c>
      <c r="N3" s="122" t="s">
        <v>138</v>
      </c>
      <c r="O3" s="122" t="s">
        <v>235</v>
      </c>
      <c r="P3" s="125">
        <v>3054</v>
      </c>
      <c r="Q3" s="123">
        <v>9931</v>
      </c>
      <c r="R3" s="126">
        <v>0.30752190111771222</v>
      </c>
      <c r="S3" s="127">
        <v>44652</v>
      </c>
      <c r="T3" s="127">
        <v>46446</v>
      </c>
      <c r="U3" s="134">
        <f t="shared" ref="U3:U28" si="8">DATEDIF(S3, T3, "m")</f>
        <v>58</v>
      </c>
      <c r="V3" s="121" t="s">
        <v>236</v>
      </c>
      <c r="W3" s="121" t="s">
        <v>237</v>
      </c>
      <c r="X3" s="127">
        <v>44743</v>
      </c>
      <c r="Y3" s="127">
        <v>46446</v>
      </c>
      <c r="Z3" s="134">
        <f>DATEDIF(S2, T2, "m")</f>
        <v>58</v>
      </c>
      <c r="AA3" s="128">
        <v>12699.57</v>
      </c>
      <c r="AB3" s="128">
        <v>1737.4</v>
      </c>
      <c r="AC3" s="128">
        <v>744.6</v>
      </c>
      <c r="AD3" s="128">
        <v>827.33333333333337</v>
      </c>
      <c r="AE3" s="128">
        <f t="shared" si="0"/>
        <v>3309.3333333333335</v>
      </c>
      <c r="AF3" s="128">
        <v>16008.90333333333</v>
      </c>
      <c r="AG3" s="129">
        <v>15.35</v>
      </c>
      <c r="AH3" s="129">
        <v>19.350000000000001</v>
      </c>
      <c r="AI3" s="129">
        <f t="shared" si="1"/>
        <v>15.35</v>
      </c>
      <c r="AJ3" s="129">
        <f t="shared" si="2"/>
        <v>19.34</v>
      </c>
      <c r="AK3" s="128">
        <f t="shared" si="3"/>
        <v>3905.4</v>
      </c>
      <c r="AL3" s="128">
        <f t="shared" si="4"/>
        <v>534.29</v>
      </c>
      <c r="AM3" s="128">
        <f t="shared" si="5"/>
        <v>228.98</v>
      </c>
      <c r="AN3" s="128">
        <f t="shared" si="6"/>
        <v>254.42</v>
      </c>
      <c r="AO3" s="128">
        <f t="shared" si="7"/>
        <v>1017.69</v>
      </c>
      <c r="AP3" s="128">
        <v>4923.09</v>
      </c>
      <c r="AQ3" s="128">
        <v>12699.57</v>
      </c>
      <c r="AR3" s="128">
        <v>17494.37</v>
      </c>
      <c r="AS3" s="121" t="s">
        <v>238</v>
      </c>
      <c r="AT3" s="121" t="s">
        <v>239</v>
      </c>
      <c r="AU3" s="128" t="s">
        <v>240</v>
      </c>
      <c r="AV3" s="121" t="s">
        <v>241</v>
      </c>
      <c r="AW3" s="121" t="s">
        <v>242</v>
      </c>
      <c r="AX3" s="121" t="s">
        <v>243</v>
      </c>
      <c r="AY3" s="121" t="s">
        <v>244</v>
      </c>
      <c r="AZ3" s="124" t="s">
        <v>245</v>
      </c>
      <c r="BA3" s="124" t="s">
        <v>246</v>
      </c>
      <c r="BB3" s="124" t="s">
        <v>247</v>
      </c>
      <c r="BC3" s="121" t="s">
        <v>248</v>
      </c>
      <c r="BD3" s="121" t="s">
        <v>249</v>
      </c>
      <c r="BE3" s="124" t="s">
        <v>98</v>
      </c>
      <c r="BF3" s="122" t="s">
        <v>137</v>
      </c>
      <c r="BG3" s="127">
        <v>46153</v>
      </c>
    </row>
    <row r="4" spans="1:59" ht="42" customHeight="1" x14ac:dyDescent="0.25">
      <c r="A4" s="121" t="s">
        <v>77</v>
      </c>
      <c r="B4" s="130" t="s">
        <v>89</v>
      </c>
      <c r="C4" s="123">
        <v>3</v>
      </c>
      <c r="D4" s="130" t="s">
        <v>251</v>
      </c>
      <c r="E4" s="124" t="s">
        <v>251</v>
      </c>
      <c r="F4" s="124" t="s">
        <v>252</v>
      </c>
      <c r="G4" s="121" t="s">
        <v>251</v>
      </c>
      <c r="H4" s="121" t="s">
        <v>89</v>
      </c>
      <c r="I4" s="121" t="s">
        <v>253</v>
      </c>
      <c r="J4" s="130" t="s">
        <v>254</v>
      </c>
      <c r="K4" s="121" t="s">
        <v>94</v>
      </c>
      <c r="L4" s="130" t="s">
        <v>95</v>
      </c>
      <c r="M4" s="130" t="s">
        <v>90</v>
      </c>
      <c r="N4" s="130" t="s">
        <v>93</v>
      </c>
      <c r="O4" s="130" t="s">
        <v>255</v>
      </c>
      <c r="P4" s="125">
        <v>2222</v>
      </c>
      <c r="Q4" s="123">
        <v>2222</v>
      </c>
      <c r="R4" s="126">
        <f t="shared" ref="R4:R28" si="9">IF(OR(P4="",Q4="",Q4=0),"",P4/Q4)</f>
        <v>1</v>
      </c>
      <c r="S4" s="127">
        <v>44866</v>
      </c>
      <c r="T4" s="127">
        <v>46112</v>
      </c>
      <c r="U4" s="134">
        <f t="shared" si="8"/>
        <v>40</v>
      </c>
      <c r="V4" s="121" t="s">
        <v>236</v>
      </c>
      <c r="W4" s="121" t="s">
        <v>256</v>
      </c>
      <c r="X4" s="127">
        <v>43800</v>
      </c>
      <c r="Y4" s="127">
        <v>46112</v>
      </c>
      <c r="Z4" s="134">
        <f t="shared" ref="Z4:Z28" si="10">DATEDIF(X4, Y4, "m")</f>
        <v>75</v>
      </c>
      <c r="AA4" s="128">
        <v>2499.75</v>
      </c>
      <c r="AB4" s="128">
        <v>388.85</v>
      </c>
      <c r="AC4" s="128">
        <v>157.39166666666671</v>
      </c>
      <c r="AD4" s="128">
        <v>185.16666666666671</v>
      </c>
      <c r="AE4" s="128">
        <f t="shared" si="0"/>
        <v>731.40833333333353</v>
      </c>
      <c r="AF4" s="128">
        <v>3231.1583333333328</v>
      </c>
      <c r="AG4" s="129">
        <v>13.5</v>
      </c>
      <c r="AH4" s="129">
        <v>17.45</v>
      </c>
      <c r="AI4" s="129">
        <f t="shared" si="1"/>
        <v>13.5</v>
      </c>
      <c r="AJ4" s="129">
        <f t="shared" si="2"/>
        <v>17.45</v>
      </c>
      <c r="AK4" s="128">
        <f t="shared" si="3"/>
        <v>2499.75</v>
      </c>
      <c r="AL4" s="128">
        <f t="shared" si="4"/>
        <v>388.85</v>
      </c>
      <c r="AM4" s="128">
        <f t="shared" si="5"/>
        <v>157.38999999999999</v>
      </c>
      <c r="AN4" s="128">
        <f t="shared" si="6"/>
        <v>185.17</v>
      </c>
      <c r="AO4" s="128">
        <f t="shared" si="7"/>
        <v>731.41</v>
      </c>
      <c r="AP4" s="128">
        <f t="shared" ref="AP4:AP28" si="11">IF(OR(AF4="",R4=""),"",ROUND(AF4*R4,2))</f>
        <v>3231.16</v>
      </c>
      <c r="AQ4" s="128">
        <v>2499.75</v>
      </c>
      <c r="AR4" s="128">
        <v>3231.16</v>
      </c>
      <c r="AS4" s="121" t="s">
        <v>257</v>
      </c>
      <c r="AT4" s="121" t="s">
        <v>258</v>
      </c>
      <c r="AU4" s="128" t="s">
        <v>259</v>
      </c>
      <c r="AV4" s="121" t="s">
        <v>260</v>
      </c>
      <c r="AW4" s="121" t="s">
        <v>261</v>
      </c>
      <c r="AX4" s="121" t="s">
        <v>243</v>
      </c>
      <c r="AY4" s="121" t="s">
        <v>244</v>
      </c>
      <c r="AZ4" s="124" t="s">
        <v>262</v>
      </c>
      <c r="BA4" s="124" t="s">
        <v>263</v>
      </c>
      <c r="BB4" s="124" t="s">
        <v>264</v>
      </c>
      <c r="BC4" s="121" t="s">
        <v>265</v>
      </c>
      <c r="BD4" s="121" t="s">
        <v>249</v>
      </c>
      <c r="BE4" s="124" t="s">
        <v>98</v>
      </c>
      <c r="BF4" s="130" t="s">
        <v>92</v>
      </c>
      <c r="BG4" s="127">
        <v>46153</v>
      </c>
    </row>
    <row r="5" spans="1:59" ht="42" customHeight="1" x14ac:dyDescent="0.25">
      <c r="A5" s="121" t="s">
        <v>77</v>
      </c>
      <c r="B5" s="122" t="s">
        <v>139</v>
      </c>
      <c r="C5" s="123">
        <v>4</v>
      </c>
      <c r="D5" s="122" t="s">
        <v>266</v>
      </c>
      <c r="E5" s="124" t="s">
        <v>266</v>
      </c>
      <c r="F5" s="124" t="s">
        <v>267</v>
      </c>
      <c r="G5" s="121" t="s">
        <v>268</v>
      </c>
      <c r="H5" s="121" t="s">
        <v>139</v>
      </c>
      <c r="I5" s="121" t="s">
        <v>253</v>
      </c>
      <c r="J5" s="122" t="s">
        <v>234</v>
      </c>
      <c r="K5" s="121" t="s">
        <v>132</v>
      </c>
      <c r="L5" s="122" t="s">
        <v>95</v>
      </c>
      <c r="M5" s="122" t="s">
        <v>128</v>
      </c>
      <c r="N5" s="122" t="s">
        <v>142</v>
      </c>
      <c r="O5" s="122" t="s">
        <v>235</v>
      </c>
      <c r="P5" s="125">
        <v>1743</v>
      </c>
      <c r="Q5" s="123">
        <v>1743</v>
      </c>
      <c r="R5" s="126">
        <f t="shared" si="9"/>
        <v>1</v>
      </c>
      <c r="S5" s="127">
        <v>44652</v>
      </c>
      <c r="T5" s="127">
        <v>46477</v>
      </c>
      <c r="U5" s="134">
        <f t="shared" si="8"/>
        <v>59</v>
      </c>
      <c r="V5" s="121" t="s">
        <v>236</v>
      </c>
      <c r="W5" s="121" t="s">
        <v>269</v>
      </c>
      <c r="X5" s="127">
        <v>44652</v>
      </c>
      <c r="Y5" s="127">
        <v>46660</v>
      </c>
      <c r="Z5" s="134">
        <f t="shared" si="10"/>
        <v>65</v>
      </c>
      <c r="AA5" s="128">
        <v>1960.88</v>
      </c>
      <c r="AB5" s="128">
        <v>305.02999999999997</v>
      </c>
      <c r="AC5" s="128">
        <v>130.72499999999999</v>
      </c>
      <c r="AD5" s="128">
        <v>145.25</v>
      </c>
      <c r="AE5" s="128">
        <f t="shared" si="0"/>
        <v>581.005</v>
      </c>
      <c r="AF5" s="128">
        <v>2541.8850000000002</v>
      </c>
      <c r="AG5" s="129">
        <v>13.5</v>
      </c>
      <c r="AH5" s="129">
        <v>17.5</v>
      </c>
      <c r="AI5" s="129">
        <f t="shared" si="1"/>
        <v>13.5</v>
      </c>
      <c r="AJ5" s="129">
        <f t="shared" si="2"/>
        <v>17.5</v>
      </c>
      <c r="AK5" s="128">
        <f t="shared" si="3"/>
        <v>1960.88</v>
      </c>
      <c r="AL5" s="128">
        <f t="shared" si="4"/>
        <v>305.02999999999997</v>
      </c>
      <c r="AM5" s="128">
        <f t="shared" si="5"/>
        <v>130.72999999999999</v>
      </c>
      <c r="AN5" s="128">
        <f t="shared" si="6"/>
        <v>145.25</v>
      </c>
      <c r="AO5" s="128">
        <f t="shared" si="7"/>
        <v>581.01</v>
      </c>
      <c r="AP5" s="128">
        <f t="shared" si="11"/>
        <v>2541.89</v>
      </c>
      <c r="AQ5" s="128"/>
      <c r="AR5" s="128">
        <v>1561.43</v>
      </c>
      <c r="AS5" s="121" t="s">
        <v>270</v>
      </c>
      <c r="AT5" s="121" t="s">
        <v>271</v>
      </c>
      <c r="AU5" s="128" t="s">
        <v>272</v>
      </c>
      <c r="AV5" s="121" t="s">
        <v>260</v>
      </c>
      <c r="AW5" s="121" t="s">
        <v>273</v>
      </c>
      <c r="AX5" s="121" t="s">
        <v>243</v>
      </c>
      <c r="AY5" s="121" t="s">
        <v>244</v>
      </c>
      <c r="AZ5" s="124" t="s">
        <v>274</v>
      </c>
      <c r="BA5" s="124" t="s">
        <v>275</v>
      </c>
      <c r="BB5" s="124" t="s">
        <v>276</v>
      </c>
      <c r="BC5" s="121" t="s">
        <v>277</v>
      </c>
      <c r="BD5" s="121" t="s">
        <v>249</v>
      </c>
      <c r="BE5" s="124" t="s">
        <v>98</v>
      </c>
      <c r="BF5" s="122" t="s">
        <v>141</v>
      </c>
      <c r="BG5" s="127">
        <v>46153</v>
      </c>
    </row>
    <row r="6" spans="1:59" ht="42" customHeight="1" x14ac:dyDescent="0.25">
      <c r="A6" s="121" t="s">
        <v>77</v>
      </c>
      <c r="B6" s="130" t="s">
        <v>99</v>
      </c>
      <c r="C6" s="123">
        <v>5</v>
      </c>
      <c r="D6" s="130" t="s">
        <v>278</v>
      </c>
      <c r="E6" s="124" t="s">
        <v>278</v>
      </c>
      <c r="F6" s="124" t="s">
        <v>279</v>
      </c>
      <c r="G6" s="121" t="s">
        <v>280</v>
      </c>
      <c r="H6" s="121" t="s">
        <v>99</v>
      </c>
      <c r="I6" s="121" t="s">
        <v>253</v>
      </c>
      <c r="J6" s="130" t="s">
        <v>254</v>
      </c>
      <c r="K6" s="121" t="s">
        <v>102</v>
      </c>
      <c r="L6" s="130" t="s">
        <v>95</v>
      </c>
      <c r="M6" s="130" t="s">
        <v>90</v>
      </c>
      <c r="N6" s="130" t="s">
        <v>93</v>
      </c>
      <c r="O6" s="130" t="s">
        <v>255</v>
      </c>
      <c r="P6" s="125">
        <v>2546</v>
      </c>
      <c r="Q6" s="123">
        <v>2546</v>
      </c>
      <c r="R6" s="126">
        <f t="shared" si="9"/>
        <v>1</v>
      </c>
      <c r="S6" s="127">
        <v>44044</v>
      </c>
      <c r="T6" s="127">
        <v>45930</v>
      </c>
      <c r="U6" s="134">
        <f t="shared" si="8"/>
        <v>61</v>
      </c>
      <c r="V6" s="121" t="s">
        <v>236</v>
      </c>
      <c r="W6" s="121" t="s">
        <v>281</v>
      </c>
      <c r="X6" s="127">
        <v>44044</v>
      </c>
      <c r="Y6" s="127">
        <v>45869</v>
      </c>
      <c r="Z6" s="134">
        <f t="shared" si="10"/>
        <v>59</v>
      </c>
      <c r="AA6" s="128">
        <v>2970.33</v>
      </c>
      <c r="AB6" s="128">
        <v>445.55</v>
      </c>
      <c r="AC6" s="128">
        <v>180.3416666666667</v>
      </c>
      <c r="AD6" s="128">
        <v>212.16666666666671</v>
      </c>
      <c r="AE6" s="128">
        <f t="shared" si="0"/>
        <v>838.05833333333339</v>
      </c>
      <c r="AF6" s="128">
        <v>3808.3883333333329</v>
      </c>
      <c r="AG6" s="129">
        <v>14</v>
      </c>
      <c r="AH6" s="129">
        <v>17.95</v>
      </c>
      <c r="AI6" s="129">
        <f t="shared" si="1"/>
        <v>14</v>
      </c>
      <c r="AJ6" s="129">
        <f t="shared" si="2"/>
        <v>17.95</v>
      </c>
      <c r="AK6" s="128">
        <f t="shared" si="3"/>
        <v>2970.33</v>
      </c>
      <c r="AL6" s="128">
        <f t="shared" si="4"/>
        <v>445.55</v>
      </c>
      <c r="AM6" s="128">
        <f t="shared" si="5"/>
        <v>180.34</v>
      </c>
      <c r="AN6" s="128">
        <f t="shared" si="6"/>
        <v>212.17</v>
      </c>
      <c r="AO6" s="128">
        <f t="shared" si="7"/>
        <v>838.06</v>
      </c>
      <c r="AP6" s="128">
        <f t="shared" si="11"/>
        <v>3808.39</v>
      </c>
      <c r="AQ6" s="128">
        <v>2758.17</v>
      </c>
      <c r="AR6" s="128">
        <v>3808.39</v>
      </c>
      <c r="AS6" s="121" t="s">
        <v>282</v>
      </c>
      <c r="AT6" s="121" t="s">
        <v>283</v>
      </c>
      <c r="AU6" s="128" t="s">
        <v>259</v>
      </c>
      <c r="AV6" s="121" t="s">
        <v>260</v>
      </c>
      <c r="AW6" s="121" t="s">
        <v>261</v>
      </c>
      <c r="AX6" s="121" t="s">
        <v>243</v>
      </c>
      <c r="AY6" s="121" t="s">
        <v>244</v>
      </c>
      <c r="AZ6" s="124" t="s">
        <v>284</v>
      </c>
      <c r="BA6" s="124" t="s">
        <v>285</v>
      </c>
      <c r="BB6" s="124" t="s">
        <v>286</v>
      </c>
      <c r="BC6" s="121" t="s">
        <v>287</v>
      </c>
      <c r="BD6" s="121" t="s">
        <v>249</v>
      </c>
      <c r="BE6" s="124" t="s">
        <v>98</v>
      </c>
      <c r="BF6" s="130" t="s">
        <v>101</v>
      </c>
      <c r="BG6" s="127">
        <v>46153</v>
      </c>
    </row>
    <row r="7" spans="1:59" ht="42" customHeight="1" x14ac:dyDescent="0.25">
      <c r="A7" s="121" t="s">
        <v>77</v>
      </c>
      <c r="B7" s="122" t="s">
        <v>143</v>
      </c>
      <c r="C7" s="123">
        <v>6</v>
      </c>
      <c r="D7" s="122" t="s">
        <v>288</v>
      </c>
      <c r="E7" s="124" t="s">
        <v>288</v>
      </c>
      <c r="F7" s="124" t="s">
        <v>289</v>
      </c>
      <c r="G7" s="121" t="s">
        <v>290</v>
      </c>
      <c r="H7" s="121" t="s">
        <v>143</v>
      </c>
      <c r="I7" s="121" t="s">
        <v>253</v>
      </c>
      <c r="J7" s="122" t="s">
        <v>234</v>
      </c>
      <c r="K7" s="121" t="s">
        <v>132</v>
      </c>
      <c r="L7" s="122" t="s">
        <v>95</v>
      </c>
      <c r="M7" s="122" t="s">
        <v>128</v>
      </c>
      <c r="N7" s="122" t="s">
        <v>146</v>
      </c>
      <c r="O7" s="122" t="s">
        <v>235</v>
      </c>
      <c r="P7" s="125">
        <v>1690</v>
      </c>
      <c r="Q7" s="123">
        <v>1690</v>
      </c>
      <c r="R7" s="126">
        <f t="shared" si="9"/>
        <v>1</v>
      </c>
      <c r="S7" s="127">
        <v>45292</v>
      </c>
      <c r="T7" s="127">
        <v>46418</v>
      </c>
      <c r="U7" s="134">
        <f t="shared" si="8"/>
        <v>36</v>
      </c>
      <c r="V7" s="121" t="s">
        <v>236</v>
      </c>
      <c r="W7" s="121" t="s">
        <v>291</v>
      </c>
      <c r="X7" s="127">
        <v>45323</v>
      </c>
      <c r="Y7" s="127">
        <v>46418</v>
      </c>
      <c r="Z7" s="134">
        <f t="shared" si="10"/>
        <v>35</v>
      </c>
      <c r="AA7" s="128">
        <v>1901.25</v>
      </c>
      <c r="AB7" s="128">
        <v>295.75</v>
      </c>
      <c r="AC7" s="128">
        <v>133.79166666666671</v>
      </c>
      <c r="AD7" s="128">
        <v>274.625</v>
      </c>
      <c r="AE7" s="128">
        <f t="shared" si="0"/>
        <v>704.16666666666674</v>
      </c>
      <c r="AF7" s="128">
        <v>2605.416666666667</v>
      </c>
      <c r="AG7" s="129">
        <v>13.5</v>
      </c>
      <c r="AH7" s="129">
        <v>18.5</v>
      </c>
      <c r="AI7" s="129">
        <f t="shared" si="1"/>
        <v>13.5</v>
      </c>
      <c r="AJ7" s="129">
        <f t="shared" si="2"/>
        <v>18.5</v>
      </c>
      <c r="AK7" s="128">
        <f t="shared" si="3"/>
        <v>1901.25</v>
      </c>
      <c r="AL7" s="128">
        <f t="shared" si="4"/>
        <v>295.75</v>
      </c>
      <c r="AM7" s="128">
        <f t="shared" si="5"/>
        <v>133.79</v>
      </c>
      <c r="AN7" s="128">
        <f t="shared" si="6"/>
        <v>274.63</v>
      </c>
      <c r="AO7" s="128">
        <f t="shared" si="7"/>
        <v>704.17</v>
      </c>
      <c r="AP7" s="128">
        <f t="shared" si="11"/>
        <v>2605.42</v>
      </c>
      <c r="AQ7" s="128">
        <v>1901.25</v>
      </c>
      <c r="AR7" s="128">
        <v>2605.42</v>
      </c>
      <c r="AS7" s="121" t="s">
        <v>292</v>
      </c>
      <c r="AT7" s="121" t="s">
        <v>293</v>
      </c>
      <c r="AU7" s="128" t="s">
        <v>259</v>
      </c>
      <c r="AV7" s="121" t="s">
        <v>260</v>
      </c>
      <c r="AW7" s="121" t="s">
        <v>261</v>
      </c>
      <c r="AX7" s="121" t="s">
        <v>243</v>
      </c>
      <c r="AY7" s="121" t="s">
        <v>244</v>
      </c>
      <c r="AZ7" s="124" t="s">
        <v>294</v>
      </c>
      <c r="BA7" s="124" t="s">
        <v>295</v>
      </c>
      <c r="BB7" s="124" t="s">
        <v>296</v>
      </c>
      <c r="BC7" s="121" t="s">
        <v>297</v>
      </c>
      <c r="BD7" s="121" t="s">
        <v>249</v>
      </c>
      <c r="BE7" s="124" t="s">
        <v>98</v>
      </c>
      <c r="BF7" s="122" t="s">
        <v>145</v>
      </c>
      <c r="BG7" s="127">
        <v>46153</v>
      </c>
    </row>
    <row r="8" spans="1:59" ht="42" customHeight="1" x14ac:dyDescent="0.25">
      <c r="A8" s="121" t="s">
        <v>77</v>
      </c>
      <c r="B8" s="121" t="s">
        <v>298</v>
      </c>
      <c r="C8" s="123">
        <v>7</v>
      </c>
      <c r="D8" s="121" t="s">
        <v>299</v>
      </c>
      <c r="E8" s="124" t="s">
        <v>299</v>
      </c>
      <c r="F8" s="124" t="s">
        <v>300</v>
      </c>
      <c r="G8" s="121" t="s">
        <v>299</v>
      </c>
      <c r="H8" s="121" t="s">
        <v>298</v>
      </c>
      <c r="I8" s="121" t="s">
        <v>253</v>
      </c>
      <c r="J8" s="121" t="s">
        <v>234</v>
      </c>
      <c r="K8" s="121" t="s">
        <v>132</v>
      </c>
      <c r="L8" s="122" t="s">
        <v>253</v>
      </c>
      <c r="M8" s="121" t="s">
        <v>96</v>
      </c>
      <c r="N8" s="122" t="s">
        <v>301</v>
      </c>
      <c r="O8" s="121" t="s">
        <v>302</v>
      </c>
      <c r="P8" s="125">
        <v>2606</v>
      </c>
      <c r="Q8" s="123">
        <v>2606</v>
      </c>
      <c r="R8" s="126">
        <f t="shared" si="9"/>
        <v>1</v>
      </c>
      <c r="S8" s="127">
        <v>44197</v>
      </c>
      <c r="T8" s="127">
        <v>46568</v>
      </c>
      <c r="U8" s="134">
        <f t="shared" si="8"/>
        <v>77</v>
      </c>
      <c r="V8" s="121" t="s">
        <v>236</v>
      </c>
      <c r="W8" s="121" t="s">
        <v>96</v>
      </c>
      <c r="X8" s="127"/>
      <c r="Y8" s="127"/>
      <c r="Z8" s="134">
        <f t="shared" si="10"/>
        <v>0</v>
      </c>
      <c r="AA8" s="128">
        <v>2931.75</v>
      </c>
      <c r="AB8" s="128">
        <v>456.05</v>
      </c>
      <c r="AC8" s="128">
        <v>206.30833333333331</v>
      </c>
      <c r="AD8" s="128">
        <v>423.47500000000002</v>
      </c>
      <c r="AE8" s="128">
        <f t="shared" si="0"/>
        <v>1085.8333333333335</v>
      </c>
      <c r="AF8" s="128">
        <v>4017.583333333333</v>
      </c>
      <c r="AG8" s="129">
        <v>13.5</v>
      </c>
      <c r="AH8" s="129">
        <v>18.5</v>
      </c>
      <c r="AI8" s="129">
        <f t="shared" si="1"/>
        <v>13.5</v>
      </c>
      <c r="AJ8" s="129">
        <f t="shared" si="2"/>
        <v>18.5</v>
      </c>
      <c r="AK8" s="128">
        <f t="shared" si="3"/>
        <v>2931.75</v>
      </c>
      <c r="AL8" s="128">
        <f t="shared" si="4"/>
        <v>456.05</v>
      </c>
      <c r="AM8" s="128">
        <f t="shared" si="5"/>
        <v>206.31</v>
      </c>
      <c r="AN8" s="128">
        <f t="shared" si="6"/>
        <v>423.48</v>
      </c>
      <c r="AO8" s="128">
        <f t="shared" si="7"/>
        <v>1085.83</v>
      </c>
      <c r="AP8" s="128">
        <f t="shared" si="11"/>
        <v>4017.58</v>
      </c>
      <c r="AQ8" s="128">
        <v>3680.96</v>
      </c>
      <c r="AR8" s="128"/>
      <c r="AS8" s="121" t="s">
        <v>303</v>
      </c>
      <c r="AT8" s="121" t="s">
        <v>96</v>
      </c>
      <c r="AU8" s="128" t="s">
        <v>96</v>
      </c>
      <c r="AV8" s="121" t="s">
        <v>304</v>
      </c>
      <c r="AW8" s="121" t="s">
        <v>96</v>
      </c>
      <c r="AX8" s="121" t="s">
        <v>243</v>
      </c>
      <c r="AY8" s="121" t="s">
        <v>96</v>
      </c>
      <c r="AZ8" s="124" t="s">
        <v>305</v>
      </c>
      <c r="BA8" s="124" t="s">
        <v>306</v>
      </c>
      <c r="BB8" s="124" t="s">
        <v>307</v>
      </c>
      <c r="BC8" s="121" t="s">
        <v>308</v>
      </c>
      <c r="BD8" s="121" t="s">
        <v>249</v>
      </c>
      <c r="BE8" s="124" t="s">
        <v>98</v>
      </c>
      <c r="BF8" s="121" t="s">
        <v>96</v>
      </c>
      <c r="BG8" s="127">
        <v>46153</v>
      </c>
    </row>
    <row r="9" spans="1:59" ht="42" customHeight="1" x14ac:dyDescent="0.25">
      <c r="A9" s="121" t="s">
        <v>77</v>
      </c>
      <c r="B9" s="122" t="s">
        <v>147</v>
      </c>
      <c r="C9" s="123">
        <v>8</v>
      </c>
      <c r="D9" s="122" t="s">
        <v>309</v>
      </c>
      <c r="E9" s="124" t="s">
        <v>309</v>
      </c>
      <c r="F9" s="124" t="s">
        <v>310</v>
      </c>
      <c r="G9" s="121" t="s">
        <v>311</v>
      </c>
      <c r="H9" s="121" t="s">
        <v>148</v>
      </c>
      <c r="I9" s="121" t="s">
        <v>95</v>
      </c>
      <c r="J9" s="122" t="s">
        <v>234</v>
      </c>
      <c r="K9" s="121" t="s">
        <v>132</v>
      </c>
      <c r="L9" s="122" t="s">
        <v>95</v>
      </c>
      <c r="M9" s="122" t="s">
        <v>128</v>
      </c>
      <c r="N9" s="122" t="s">
        <v>151</v>
      </c>
      <c r="O9" s="122" t="s">
        <v>235</v>
      </c>
      <c r="P9" s="125">
        <v>2170</v>
      </c>
      <c r="Q9" s="123">
        <v>4340</v>
      </c>
      <c r="R9" s="126">
        <f t="shared" si="9"/>
        <v>0.5</v>
      </c>
      <c r="S9" s="127">
        <v>45139</v>
      </c>
      <c r="T9" s="127">
        <v>46295</v>
      </c>
      <c r="U9" s="134">
        <f t="shared" si="8"/>
        <v>37</v>
      </c>
      <c r="V9" s="121" t="s">
        <v>236</v>
      </c>
      <c r="W9" s="121" t="s">
        <v>312</v>
      </c>
      <c r="X9" s="127">
        <v>45869</v>
      </c>
      <c r="Y9" s="127">
        <v>47695</v>
      </c>
      <c r="Z9" s="134">
        <f t="shared" si="10"/>
        <v>60</v>
      </c>
      <c r="AA9" s="128">
        <v>4882.5</v>
      </c>
      <c r="AB9" s="128">
        <v>759.5</v>
      </c>
      <c r="AC9" s="128">
        <v>343.58333333333331</v>
      </c>
      <c r="AD9" s="128">
        <v>669.08333333333337</v>
      </c>
      <c r="AE9" s="128">
        <f t="shared" si="0"/>
        <v>1772.1666666666665</v>
      </c>
      <c r="AF9" s="128">
        <v>6654.6666666666661</v>
      </c>
      <c r="AG9" s="129">
        <v>13.5</v>
      </c>
      <c r="AH9" s="129">
        <v>18.399999999999999</v>
      </c>
      <c r="AI9" s="129">
        <f t="shared" si="1"/>
        <v>13.5</v>
      </c>
      <c r="AJ9" s="129">
        <f t="shared" si="2"/>
        <v>18.399999999999999</v>
      </c>
      <c r="AK9" s="128">
        <f t="shared" si="3"/>
        <v>2441.25</v>
      </c>
      <c r="AL9" s="128">
        <f t="shared" si="4"/>
        <v>379.75</v>
      </c>
      <c r="AM9" s="128">
        <f t="shared" si="5"/>
        <v>171.79</v>
      </c>
      <c r="AN9" s="128">
        <f t="shared" si="6"/>
        <v>334.54</v>
      </c>
      <c r="AO9" s="128">
        <f t="shared" si="7"/>
        <v>886.08</v>
      </c>
      <c r="AP9" s="128">
        <f t="shared" si="11"/>
        <v>3327.33</v>
      </c>
      <c r="AQ9" s="128">
        <v>4941.37</v>
      </c>
      <c r="AR9" s="128">
        <v>6690.83</v>
      </c>
      <c r="AS9" s="121" t="s">
        <v>313</v>
      </c>
      <c r="AT9" s="121" t="s">
        <v>283</v>
      </c>
      <c r="AU9" s="128" t="s">
        <v>272</v>
      </c>
      <c r="AV9" s="121" t="s">
        <v>260</v>
      </c>
      <c r="AW9" s="121" t="s">
        <v>314</v>
      </c>
      <c r="AX9" s="121" t="s">
        <v>243</v>
      </c>
      <c r="AY9" s="121" t="s">
        <v>244</v>
      </c>
      <c r="AZ9" s="124" t="s">
        <v>315</v>
      </c>
      <c r="BA9" s="124" t="s">
        <v>316</v>
      </c>
      <c r="BB9" s="124" t="s">
        <v>317</v>
      </c>
      <c r="BC9" s="121" t="s">
        <v>318</v>
      </c>
      <c r="BD9" s="121" t="s">
        <v>249</v>
      </c>
      <c r="BE9" s="124" t="s">
        <v>98</v>
      </c>
      <c r="BF9" s="122" t="s">
        <v>150</v>
      </c>
      <c r="BG9" s="127">
        <v>46153</v>
      </c>
    </row>
    <row r="10" spans="1:59" ht="42" customHeight="1" x14ac:dyDescent="0.25">
      <c r="A10" s="121" t="s">
        <v>77</v>
      </c>
      <c r="B10" s="122" t="s">
        <v>319</v>
      </c>
      <c r="C10" s="123">
        <v>9</v>
      </c>
      <c r="D10" s="122" t="s">
        <v>309</v>
      </c>
      <c r="E10" s="124" t="s">
        <v>309</v>
      </c>
      <c r="F10" s="124" t="s">
        <v>310</v>
      </c>
      <c r="G10" s="121" t="s">
        <v>311</v>
      </c>
      <c r="H10" s="121" t="s">
        <v>148</v>
      </c>
      <c r="I10" s="121" t="s">
        <v>95</v>
      </c>
      <c r="J10" s="122" t="s">
        <v>234</v>
      </c>
      <c r="K10" s="121" t="s">
        <v>132</v>
      </c>
      <c r="L10" s="122" t="s">
        <v>95</v>
      </c>
      <c r="M10" s="122" t="s">
        <v>128</v>
      </c>
      <c r="N10" s="122" t="s">
        <v>151</v>
      </c>
      <c r="O10" s="122" t="s">
        <v>235</v>
      </c>
      <c r="P10" s="125">
        <v>2170</v>
      </c>
      <c r="Q10" s="123">
        <v>4340</v>
      </c>
      <c r="R10" s="126">
        <f t="shared" si="9"/>
        <v>0.5</v>
      </c>
      <c r="S10" s="127">
        <v>45139</v>
      </c>
      <c r="T10" s="127">
        <v>46295</v>
      </c>
      <c r="U10" s="134">
        <f t="shared" si="8"/>
        <v>37</v>
      </c>
      <c r="V10" s="121" t="s">
        <v>236</v>
      </c>
      <c r="W10" s="121" t="s">
        <v>312</v>
      </c>
      <c r="X10" s="127">
        <v>45869</v>
      </c>
      <c r="Y10" s="127">
        <v>47695</v>
      </c>
      <c r="Z10" s="134">
        <f t="shared" si="10"/>
        <v>60</v>
      </c>
      <c r="AA10" s="128">
        <v>4882.5</v>
      </c>
      <c r="AB10" s="128">
        <v>759.5</v>
      </c>
      <c r="AC10" s="128">
        <v>343.58333333333331</v>
      </c>
      <c r="AD10" s="128">
        <v>669.08333333333337</v>
      </c>
      <c r="AE10" s="128">
        <f t="shared" si="0"/>
        <v>1772.1666666666665</v>
      </c>
      <c r="AF10" s="128">
        <v>6654.6666666666661</v>
      </c>
      <c r="AG10" s="129">
        <v>13.5</v>
      </c>
      <c r="AH10" s="129">
        <v>18.399999999999999</v>
      </c>
      <c r="AI10" s="129">
        <f t="shared" si="1"/>
        <v>13.5</v>
      </c>
      <c r="AJ10" s="129">
        <f t="shared" si="2"/>
        <v>18.399999999999999</v>
      </c>
      <c r="AK10" s="128">
        <f t="shared" si="3"/>
        <v>2441.25</v>
      </c>
      <c r="AL10" s="128">
        <f t="shared" si="4"/>
        <v>379.75</v>
      </c>
      <c r="AM10" s="128">
        <f t="shared" si="5"/>
        <v>171.79</v>
      </c>
      <c r="AN10" s="128">
        <f t="shared" si="6"/>
        <v>334.54</v>
      </c>
      <c r="AO10" s="128">
        <f t="shared" si="7"/>
        <v>886.08</v>
      </c>
      <c r="AP10" s="128">
        <f t="shared" si="11"/>
        <v>3327.33</v>
      </c>
      <c r="AQ10" s="128">
        <v>4941.37</v>
      </c>
      <c r="AR10" s="128">
        <v>6690.83</v>
      </c>
      <c r="AS10" s="121" t="s">
        <v>313</v>
      </c>
      <c r="AT10" s="121" t="s">
        <v>283</v>
      </c>
      <c r="AU10" s="128" t="s">
        <v>272</v>
      </c>
      <c r="AV10" s="121" t="s">
        <v>260</v>
      </c>
      <c r="AW10" s="121" t="s">
        <v>314</v>
      </c>
      <c r="AX10" s="121" t="s">
        <v>243</v>
      </c>
      <c r="AY10" s="121" t="s">
        <v>244</v>
      </c>
      <c r="AZ10" s="124" t="s">
        <v>315</v>
      </c>
      <c r="BA10" s="124" t="s">
        <v>316</v>
      </c>
      <c r="BB10" s="124" t="s">
        <v>317</v>
      </c>
      <c r="BC10" s="121" t="s">
        <v>318</v>
      </c>
      <c r="BD10" s="121" t="s">
        <v>249</v>
      </c>
      <c r="BE10" s="124" t="s">
        <v>98</v>
      </c>
      <c r="BF10" s="122" t="s">
        <v>150</v>
      </c>
      <c r="BG10" s="127">
        <v>46153</v>
      </c>
    </row>
    <row r="11" spans="1:59" ht="42" customHeight="1" x14ac:dyDescent="0.25">
      <c r="A11" s="121" t="s">
        <v>77</v>
      </c>
      <c r="B11" s="130" t="s">
        <v>103</v>
      </c>
      <c r="C11" s="123">
        <v>10</v>
      </c>
      <c r="D11" s="130" t="s">
        <v>320</v>
      </c>
      <c r="E11" s="124" t="s">
        <v>320</v>
      </c>
      <c r="F11" s="124" t="s">
        <v>320</v>
      </c>
      <c r="G11" s="121" t="s">
        <v>321</v>
      </c>
      <c r="H11" s="121" t="s">
        <v>103</v>
      </c>
      <c r="I11" s="121" t="s">
        <v>253</v>
      </c>
      <c r="J11" s="130" t="s">
        <v>254</v>
      </c>
      <c r="K11" s="121" t="s">
        <v>105</v>
      </c>
      <c r="L11" s="130" t="s">
        <v>95</v>
      </c>
      <c r="M11" s="130" t="s">
        <v>90</v>
      </c>
      <c r="N11" s="130" t="s">
        <v>93</v>
      </c>
      <c r="O11" s="130" t="s">
        <v>255</v>
      </c>
      <c r="P11" s="125">
        <v>1769</v>
      </c>
      <c r="Q11" s="123">
        <v>1769</v>
      </c>
      <c r="R11" s="126">
        <f t="shared" si="9"/>
        <v>1</v>
      </c>
      <c r="S11" s="127">
        <v>42795</v>
      </c>
      <c r="T11" s="127">
        <v>46081</v>
      </c>
      <c r="U11" s="134">
        <f t="shared" si="8"/>
        <v>107</v>
      </c>
      <c r="V11" s="121" t="s">
        <v>236</v>
      </c>
      <c r="W11" s="121" t="s">
        <v>96</v>
      </c>
      <c r="X11" s="127"/>
      <c r="Y11" s="127"/>
      <c r="Z11" s="134">
        <f t="shared" si="10"/>
        <v>0</v>
      </c>
      <c r="AA11" s="128">
        <v>2063.83</v>
      </c>
      <c r="AB11" s="128">
        <v>309.57</v>
      </c>
      <c r="AC11" s="128">
        <v>176.9</v>
      </c>
      <c r="AD11" s="128">
        <v>169.5291666666667</v>
      </c>
      <c r="AE11" s="128">
        <f t="shared" si="0"/>
        <v>655.99916666666672</v>
      </c>
      <c r="AF11" s="128">
        <v>2719.8291666666669</v>
      </c>
      <c r="AG11" s="129">
        <v>14</v>
      </c>
      <c r="AH11" s="129">
        <v>18.45</v>
      </c>
      <c r="AI11" s="129">
        <f t="shared" si="1"/>
        <v>14</v>
      </c>
      <c r="AJ11" s="129">
        <f t="shared" si="2"/>
        <v>18.45</v>
      </c>
      <c r="AK11" s="128">
        <f t="shared" si="3"/>
        <v>2063.83</v>
      </c>
      <c r="AL11" s="128">
        <f t="shared" si="4"/>
        <v>309.57</v>
      </c>
      <c r="AM11" s="128">
        <f t="shared" si="5"/>
        <v>176.9</v>
      </c>
      <c r="AN11" s="128">
        <f t="shared" si="6"/>
        <v>169.53</v>
      </c>
      <c r="AO11" s="128">
        <f t="shared" si="7"/>
        <v>656</v>
      </c>
      <c r="AP11" s="128">
        <f t="shared" si="11"/>
        <v>2719.83</v>
      </c>
      <c r="AQ11" s="128">
        <v>1842.71</v>
      </c>
      <c r="AR11" s="128"/>
      <c r="AS11" s="121" t="s">
        <v>322</v>
      </c>
      <c r="AT11" s="121" t="s">
        <v>96</v>
      </c>
      <c r="AU11" s="128" t="s">
        <v>96</v>
      </c>
      <c r="AV11" s="121" t="s">
        <v>304</v>
      </c>
      <c r="AW11" s="121" t="s">
        <v>96</v>
      </c>
      <c r="AX11" s="121" t="s">
        <v>243</v>
      </c>
      <c r="AY11" s="121" t="s">
        <v>244</v>
      </c>
      <c r="AZ11" s="124" t="s">
        <v>323</v>
      </c>
      <c r="BA11" s="124" t="s">
        <v>324</v>
      </c>
      <c r="BB11" s="124" t="s">
        <v>325</v>
      </c>
      <c r="BC11" s="121" t="s">
        <v>326</v>
      </c>
      <c r="BD11" s="121" t="s">
        <v>249</v>
      </c>
      <c r="BE11" s="124" t="s">
        <v>98</v>
      </c>
      <c r="BF11" s="130" t="s">
        <v>96</v>
      </c>
      <c r="BG11" s="127">
        <v>46153</v>
      </c>
    </row>
    <row r="12" spans="1:59" ht="42" customHeight="1" x14ac:dyDescent="0.25">
      <c r="A12" s="121" t="s">
        <v>77</v>
      </c>
      <c r="B12" s="130" t="s">
        <v>106</v>
      </c>
      <c r="C12" s="123">
        <v>11</v>
      </c>
      <c r="D12" s="130" t="s">
        <v>327</v>
      </c>
      <c r="E12" s="124" t="s">
        <v>327</v>
      </c>
      <c r="F12" s="124" t="s">
        <v>328</v>
      </c>
      <c r="G12" s="121" t="s">
        <v>327</v>
      </c>
      <c r="H12" s="121" t="s">
        <v>106</v>
      </c>
      <c r="I12" s="121" t="s">
        <v>253</v>
      </c>
      <c r="J12" s="130" t="s">
        <v>254</v>
      </c>
      <c r="K12" s="121" t="s">
        <v>105</v>
      </c>
      <c r="L12" s="130" t="s">
        <v>95</v>
      </c>
      <c r="M12" s="130" t="s">
        <v>90</v>
      </c>
      <c r="N12" s="130" t="s">
        <v>93</v>
      </c>
      <c r="O12" s="130" t="s">
        <v>255</v>
      </c>
      <c r="P12" s="125">
        <v>1982</v>
      </c>
      <c r="Q12" s="123">
        <v>1982</v>
      </c>
      <c r="R12" s="126">
        <f t="shared" si="9"/>
        <v>1</v>
      </c>
      <c r="S12" s="127">
        <v>44621</v>
      </c>
      <c r="T12" s="127">
        <v>46081</v>
      </c>
      <c r="U12" s="134">
        <f t="shared" si="8"/>
        <v>47</v>
      </c>
      <c r="V12" s="121" t="s">
        <v>236</v>
      </c>
      <c r="W12" s="121" t="s">
        <v>329</v>
      </c>
      <c r="X12" s="127">
        <v>44986</v>
      </c>
      <c r="Y12" s="127">
        <v>46081</v>
      </c>
      <c r="Z12" s="134">
        <f t="shared" si="10"/>
        <v>35</v>
      </c>
      <c r="AA12" s="128">
        <v>2229.75</v>
      </c>
      <c r="AB12" s="128">
        <v>346.85</v>
      </c>
      <c r="AC12" s="128">
        <v>148.65</v>
      </c>
      <c r="AD12" s="128">
        <v>165.16666666666671</v>
      </c>
      <c r="AE12" s="128">
        <f t="shared" si="0"/>
        <v>660.66666666666674</v>
      </c>
      <c r="AF12" s="128">
        <v>2890.416666666667</v>
      </c>
      <c r="AG12" s="129">
        <v>13.5</v>
      </c>
      <c r="AH12" s="129">
        <v>17.5</v>
      </c>
      <c r="AI12" s="129">
        <f t="shared" si="1"/>
        <v>13.5</v>
      </c>
      <c r="AJ12" s="129">
        <f t="shared" si="2"/>
        <v>17.5</v>
      </c>
      <c r="AK12" s="128">
        <f t="shared" si="3"/>
        <v>2229.75</v>
      </c>
      <c r="AL12" s="128">
        <f t="shared" si="4"/>
        <v>346.85</v>
      </c>
      <c r="AM12" s="128">
        <f t="shared" si="5"/>
        <v>148.65</v>
      </c>
      <c r="AN12" s="128">
        <f t="shared" si="6"/>
        <v>165.17</v>
      </c>
      <c r="AO12" s="128">
        <f t="shared" si="7"/>
        <v>660.67</v>
      </c>
      <c r="AP12" s="128">
        <f t="shared" si="11"/>
        <v>2890.42</v>
      </c>
      <c r="AQ12" s="128">
        <v>2985.4</v>
      </c>
      <c r="AR12" s="128">
        <v>2890.42</v>
      </c>
      <c r="AS12" s="121" t="s">
        <v>330</v>
      </c>
      <c r="AT12" s="121" t="s">
        <v>96</v>
      </c>
      <c r="AU12" s="128" t="s">
        <v>331</v>
      </c>
      <c r="AV12" s="121" t="s">
        <v>260</v>
      </c>
      <c r="AW12" s="121" t="s">
        <v>261</v>
      </c>
      <c r="AX12" s="121" t="s">
        <v>332</v>
      </c>
      <c r="AY12" s="121" t="s">
        <v>244</v>
      </c>
      <c r="AZ12" s="124" t="s">
        <v>333</v>
      </c>
      <c r="BA12" s="124" t="s">
        <v>334</v>
      </c>
      <c r="BB12" s="124" t="s">
        <v>335</v>
      </c>
      <c r="BC12" s="121" t="s">
        <v>336</v>
      </c>
      <c r="BD12" s="121" t="s">
        <v>249</v>
      </c>
      <c r="BE12" s="124" t="s">
        <v>98</v>
      </c>
      <c r="BF12" s="130" t="s">
        <v>108</v>
      </c>
      <c r="BG12" s="127">
        <v>46153</v>
      </c>
    </row>
    <row r="13" spans="1:59" ht="42" customHeight="1" x14ac:dyDescent="0.25">
      <c r="A13" s="121" t="s">
        <v>77</v>
      </c>
      <c r="B13" s="130" t="s">
        <v>109</v>
      </c>
      <c r="C13" s="123">
        <v>12</v>
      </c>
      <c r="D13" s="130" t="s">
        <v>337</v>
      </c>
      <c r="E13" s="124" t="s">
        <v>337</v>
      </c>
      <c r="F13" s="124" t="s">
        <v>338</v>
      </c>
      <c r="G13" s="121" t="s">
        <v>337</v>
      </c>
      <c r="H13" s="121" t="s">
        <v>109</v>
      </c>
      <c r="I13" s="121" t="s">
        <v>253</v>
      </c>
      <c r="J13" s="130" t="s">
        <v>234</v>
      </c>
      <c r="K13" s="121" t="s">
        <v>339</v>
      </c>
      <c r="L13" s="130" t="s">
        <v>253</v>
      </c>
      <c r="M13" s="130"/>
      <c r="N13" s="130" t="s">
        <v>340</v>
      </c>
      <c r="O13" s="130" t="s">
        <v>255</v>
      </c>
      <c r="P13" s="125">
        <v>1974</v>
      </c>
      <c r="Q13" s="123">
        <v>1974</v>
      </c>
      <c r="R13" s="126">
        <f t="shared" si="9"/>
        <v>1</v>
      </c>
      <c r="S13" s="127">
        <v>43745</v>
      </c>
      <c r="T13" s="127">
        <v>47177</v>
      </c>
      <c r="U13" s="134">
        <f t="shared" si="8"/>
        <v>112</v>
      </c>
      <c r="V13" s="121" t="s">
        <v>236</v>
      </c>
      <c r="W13" s="121" t="s">
        <v>341</v>
      </c>
      <c r="X13" s="127">
        <v>43745</v>
      </c>
      <c r="Y13" s="127">
        <v>46081</v>
      </c>
      <c r="Z13" s="134">
        <f t="shared" si="10"/>
        <v>76</v>
      </c>
      <c r="AA13" s="128">
        <v>2303</v>
      </c>
      <c r="AB13" s="128">
        <v>345.45</v>
      </c>
      <c r="AC13" s="128">
        <v>197.4</v>
      </c>
      <c r="AD13" s="128">
        <v>189.17500000000001</v>
      </c>
      <c r="AE13" s="128">
        <f t="shared" si="0"/>
        <v>732.02500000000009</v>
      </c>
      <c r="AF13" s="128">
        <v>3035.0250000000001</v>
      </c>
      <c r="AG13" s="129">
        <v>14</v>
      </c>
      <c r="AH13" s="129">
        <v>18.45</v>
      </c>
      <c r="AI13" s="129">
        <f t="shared" si="1"/>
        <v>14</v>
      </c>
      <c r="AJ13" s="129">
        <f t="shared" si="2"/>
        <v>18.45</v>
      </c>
      <c r="AK13" s="128">
        <f t="shared" si="3"/>
        <v>2303</v>
      </c>
      <c r="AL13" s="128">
        <f t="shared" si="4"/>
        <v>345.45</v>
      </c>
      <c r="AM13" s="128">
        <f t="shared" si="5"/>
        <v>197.4</v>
      </c>
      <c r="AN13" s="128">
        <f t="shared" si="6"/>
        <v>189.18</v>
      </c>
      <c r="AO13" s="128">
        <f t="shared" si="7"/>
        <v>732.03</v>
      </c>
      <c r="AP13" s="128">
        <f t="shared" si="11"/>
        <v>3035.03</v>
      </c>
      <c r="AQ13" s="128">
        <v>2706.03</v>
      </c>
      <c r="AR13" s="128">
        <v>3035.03</v>
      </c>
      <c r="AS13" s="121" t="s">
        <v>342</v>
      </c>
      <c r="AT13" s="121" t="s">
        <v>343</v>
      </c>
      <c r="AU13" s="128" t="s">
        <v>259</v>
      </c>
      <c r="AV13" s="121" t="s">
        <v>304</v>
      </c>
      <c r="AW13" s="121" t="s">
        <v>261</v>
      </c>
      <c r="AX13" s="121" t="s">
        <v>344</v>
      </c>
      <c r="AY13" s="121" t="s">
        <v>244</v>
      </c>
      <c r="AZ13" s="124" t="s">
        <v>345</v>
      </c>
      <c r="BA13" s="124" t="s">
        <v>346</v>
      </c>
      <c r="BB13" s="124" t="s">
        <v>347</v>
      </c>
      <c r="BC13" s="121" t="s">
        <v>348</v>
      </c>
      <c r="BD13" s="121" t="s">
        <v>249</v>
      </c>
      <c r="BE13" s="124" t="s">
        <v>98</v>
      </c>
      <c r="BF13" s="130" t="s">
        <v>96</v>
      </c>
      <c r="BG13" s="127">
        <v>46153</v>
      </c>
    </row>
    <row r="14" spans="1:59" ht="42" customHeight="1" x14ac:dyDescent="0.25">
      <c r="A14" s="121" t="s">
        <v>77</v>
      </c>
      <c r="B14" s="130" t="s">
        <v>111</v>
      </c>
      <c r="C14" s="123">
        <v>13</v>
      </c>
      <c r="D14" s="130" t="s">
        <v>349</v>
      </c>
      <c r="E14" s="124" t="s">
        <v>349</v>
      </c>
      <c r="F14" s="124" t="s">
        <v>350</v>
      </c>
      <c r="G14" s="121" t="s">
        <v>349</v>
      </c>
      <c r="H14" s="121" t="s">
        <v>111</v>
      </c>
      <c r="I14" s="121" t="s">
        <v>253</v>
      </c>
      <c r="J14" s="130" t="s">
        <v>351</v>
      </c>
      <c r="K14" s="121" t="s">
        <v>116</v>
      </c>
      <c r="L14" s="130" t="s">
        <v>95</v>
      </c>
      <c r="M14" s="130" t="s">
        <v>112</v>
      </c>
      <c r="N14" s="130" t="s">
        <v>115</v>
      </c>
      <c r="O14" s="130" t="s">
        <v>255</v>
      </c>
      <c r="P14" s="125">
        <v>1709</v>
      </c>
      <c r="Q14" s="123">
        <v>1709</v>
      </c>
      <c r="R14" s="126">
        <f t="shared" si="9"/>
        <v>1</v>
      </c>
      <c r="S14" s="127">
        <v>45869</v>
      </c>
      <c r="T14" s="127">
        <v>48213</v>
      </c>
      <c r="U14" s="134">
        <f t="shared" si="8"/>
        <v>77</v>
      </c>
      <c r="V14" s="121" t="s">
        <v>236</v>
      </c>
      <c r="W14" s="121" t="s">
        <v>352</v>
      </c>
      <c r="X14" s="127"/>
      <c r="Y14" s="127"/>
      <c r="Z14" s="134">
        <f t="shared" si="10"/>
        <v>0</v>
      </c>
      <c r="AA14" s="128">
        <v>1815.81</v>
      </c>
      <c r="AB14" s="128">
        <v>299.08</v>
      </c>
      <c r="AC14" s="128">
        <v>135.5</v>
      </c>
      <c r="AD14" s="128">
        <v>277.70999999999998</v>
      </c>
      <c r="AE14" s="128">
        <f t="shared" si="0"/>
        <v>712.29</v>
      </c>
      <c r="AF14" s="128">
        <v>2528.1</v>
      </c>
      <c r="AG14" s="129">
        <v>0</v>
      </c>
      <c r="AH14" s="129">
        <v>0</v>
      </c>
      <c r="AI14" s="129">
        <f t="shared" si="1"/>
        <v>12.75</v>
      </c>
      <c r="AJ14" s="129">
        <f t="shared" si="2"/>
        <v>17.75</v>
      </c>
      <c r="AK14" s="128">
        <f t="shared" si="3"/>
        <v>1815.81</v>
      </c>
      <c r="AL14" s="128">
        <f t="shared" si="4"/>
        <v>299.08</v>
      </c>
      <c r="AM14" s="128">
        <f t="shared" si="5"/>
        <v>135.5</v>
      </c>
      <c r="AN14" s="128">
        <f t="shared" si="6"/>
        <v>277.70999999999998</v>
      </c>
      <c r="AO14" s="128">
        <f t="shared" si="7"/>
        <v>712.29</v>
      </c>
      <c r="AP14" s="128">
        <f t="shared" si="11"/>
        <v>2528.1</v>
      </c>
      <c r="AQ14" s="128">
        <v>1958.23</v>
      </c>
      <c r="AR14" s="128">
        <v>2741.52</v>
      </c>
      <c r="AS14" s="121" t="s">
        <v>353</v>
      </c>
      <c r="AT14" s="121" t="s">
        <v>96</v>
      </c>
      <c r="AU14" s="128" t="s">
        <v>331</v>
      </c>
      <c r="AV14" s="121" t="s">
        <v>260</v>
      </c>
      <c r="AW14" s="121" t="s">
        <v>261</v>
      </c>
      <c r="AX14" s="121" t="s">
        <v>243</v>
      </c>
      <c r="AY14" s="121" t="s">
        <v>244</v>
      </c>
      <c r="AZ14" s="124" t="s">
        <v>354</v>
      </c>
      <c r="BA14" s="124" t="s">
        <v>355</v>
      </c>
      <c r="BB14" s="124" t="s">
        <v>356</v>
      </c>
      <c r="BC14" s="121" t="s">
        <v>357</v>
      </c>
      <c r="BD14" s="121" t="s">
        <v>249</v>
      </c>
      <c r="BE14" s="124" t="s">
        <v>98</v>
      </c>
      <c r="BF14" s="130" t="s">
        <v>114</v>
      </c>
      <c r="BG14" s="127">
        <v>46153</v>
      </c>
    </row>
    <row r="15" spans="1:59" ht="42" customHeight="1" x14ac:dyDescent="0.25">
      <c r="A15" s="121" t="s">
        <v>77</v>
      </c>
      <c r="B15" s="121" t="s">
        <v>358</v>
      </c>
      <c r="C15" s="123">
        <v>14</v>
      </c>
      <c r="D15" s="121" t="s">
        <v>359</v>
      </c>
      <c r="E15" s="124" t="s">
        <v>359</v>
      </c>
      <c r="F15" s="124" t="s">
        <v>360</v>
      </c>
      <c r="G15" s="121" t="s">
        <v>359</v>
      </c>
      <c r="H15" s="121" t="s">
        <v>358</v>
      </c>
      <c r="I15" s="121" t="s">
        <v>253</v>
      </c>
      <c r="J15" s="121" t="s">
        <v>234</v>
      </c>
      <c r="K15" s="121" t="s">
        <v>132</v>
      </c>
      <c r="L15" s="122" t="s">
        <v>253</v>
      </c>
      <c r="M15" s="121" t="s">
        <v>96</v>
      </c>
      <c r="N15" s="122" t="s">
        <v>301</v>
      </c>
      <c r="O15" s="121" t="s">
        <v>302</v>
      </c>
      <c r="P15" s="125">
        <v>3563</v>
      </c>
      <c r="Q15" s="123">
        <v>3563</v>
      </c>
      <c r="R15" s="126">
        <f t="shared" si="9"/>
        <v>1</v>
      </c>
      <c r="S15" s="127">
        <v>45413</v>
      </c>
      <c r="T15" s="127">
        <v>47483</v>
      </c>
      <c r="U15" s="134">
        <f t="shared" si="8"/>
        <v>67</v>
      </c>
      <c r="V15" s="121" t="s">
        <v>236</v>
      </c>
      <c r="W15" s="121" t="s">
        <v>361</v>
      </c>
      <c r="X15" s="127">
        <v>45413</v>
      </c>
      <c r="Y15" s="127">
        <v>47483</v>
      </c>
      <c r="Z15" s="134">
        <f t="shared" si="10"/>
        <v>67</v>
      </c>
      <c r="AA15" s="128">
        <v>4008.38</v>
      </c>
      <c r="AB15" s="128">
        <v>623.52</v>
      </c>
      <c r="AC15" s="128">
        <v>282.07083333333333</v>
      </c>
      <c r="AD15" s="128">
        <v>578.98749999999995</v>
      </c>
      <c r="AE15" s="128">
        <f t="shared" si="0"/>
        <v>1484.5783333333334</v>
      </c>
      <c r="AF15" s="128">
        <v>5492.958333333333</v>
      </c>
      <c r="AG15" s="129">
        <v>13.5</v>
      </c>
      <c r="AH15" s="129">
        <v>18.5</v>
      </c>
      <c r="AI15" s="129">
        <f t="shared" si="1"/>
        <v>13.5</v>
      </c>
      <c r="AJ15" s="129">
        <f t="shared" si="2"/>
        <v>18.5</v>
      </c>
      <c r="AK15" s="128">
        <f t="shared" si="3"/>
        <v>4008.38</v>
      </c>
      <c r="AL15" s="128">
        <f t="shared" si="4"/>
        <v>623.52</v>
      </c>
      <c r="AM15" s="128">
        <f t="shared" si="5"/>
        <v>282.07</v>
      </c>
      <c r="AN15" s="128">
        <f t="shared" si="6"/>
        <v>578.99</v>
      </c>
      <c r="AO15" s="128">
        <f t="shared" si="7"/>
        <v>1484.58</v>
      </c>
      <c r="AP15" s="128">
        <f t="shared" si="11"/>
        <v>5492.96</v>
      </c>
      <c r="AQ15" s="128">
        <v>4008.38</v>
      </c>
      <c r="AR15" s="128">
        <v>5492.96</v>
      </c>
      <c r="AS15" s="121" t="s">
        <v>362</v>
      </c>
      <c r="AT15" s="121" t="s">
        <v>96</v>
      </c>
      <c r="AU15" s="128" t="s">
        <v>331</v>
      </c>
      <c r="AV15" s="121" t="s">
        <v>260</v>
      </c>
      <c r="AW15" s="121" t="s">
        <v>261</v>
      </c>
      <c r="AX15" s="121" t="s">
        <v>243</v>
      </c>
      <c r="AY15" s="121" t="s">
        <v>244</v>
      </c>
      <c r="AZ15" s="124" t="s">
        <v>363</v>
      </c>
      <c r="BA15" s="124" t="s">
        <v>364</v>
      </c>
      <c r="BB15" s="124" t="s">
        <v>365</v>
      </c>
      <c r="BC15" s="121" t="s">
        <v>366</v>
      </c>
      <c r="BD15" s="121" t="s">
        <v>249</v>
      </c>
      <c r="BE15" s="124" t="s">
        <v>98</v>
      </c>
      <c r="BF15" s="121" t="s">
        <v>96</v>
      </c>
      <c r="BG15" s="127">
        <v>46153</v>
      </c>
    </row>
    <row r="16" spans="1:59" ht="42" customHeight="1" x14ac:dyDescent="0.25">
      <c r="A16" s="121" t="s">
        <v>77</v>
      </c>
      <c r="B16" s="122" t="s">
        <v>152</v>
      </c>
      <c r="C16" s="123">
        <v>15</v>
      </c>
      <c r="D16" s="122" t="s">
        <v>367</v>
      </c>
      <c r="E16" s="124" t="s">
        <v>367</v>
      </c>
      <c r="F16" s="124" t="s">
        <v>368</v>
      </c>
      <c r="G16" s="121" t="s">
        <v>367</v>
      </c>
      <c r="H16" s="121" t="s">
        <v>153</v>
      </c>
      <c r="I16" s="121" t="s">
        <v>95</v>
      </c>
      <c r="J16" s="122" t="s">
        <v>234</v>
      </c>
      <c r="K16" s="121" t="s">
        <v>132</v>
      </c>
      <c r="L16" s="122" t="s">
        <v>95</v>
      </c>
      <c r="M16" s="122" t="s">
        <v>128</v>
      </c>
      <c r="N16" s="122" t="s">
        <v>156</v>
      </c>
      <c r="O16" s="122" t="s">
        <v>235</v>
      </c>
      <c r="P16" s="125">
        <v>1735</v>
      </c>
      <c r="Q16" s="123">
        <v>4273</v>
      </c>
      <c r="R16" s="126">
        <f t="shared" si="9"/>
        <v>0.40603791247367188</v>
      </c>
      <c r="S16" s="127">
        <v>45413</v>
      </c>
      <c r="T16" s="127">
        <v>46873</v>
      </c>
      <c r="U16" s="134">
        <f t="shared" si="8"/>
        <v>47</v>
      </c>
      <c r="V16" s="121" t="s">
        <v>236</v>
      </c>
      <c r="W16" s="121" t="s">
        <v>369</v>
      </c>
      <c r="X16" s="127">
        <v>45413</v>
      </c>
      <c r="Y16" s="127">
        <v>47361</v>
      </c>
      <c r="Z16" s="134">
        <f t="shared" si="10"/>
        <v>63</v>
      </c>
      <c r="AA16" s="128">
        <v>4807.12</v>
      </c>
      <c r="AB16" s="128">
        <v>747.78</v>
      </c>
      <c r="AC16" s="128">
        <v>338.27916666666658</v>
      </c>
      <c r="AD16" s="128">
        <v>694.36250000000007</v>
      </c>
      <c r="AE16" s="128">
        <f t="shared" si="0"/>
        <v>1780.4216666666666</v>
      </c>
      <c r="AF16" s="128">
        <v>6587.5416666666661</v>
      </c>
      <c r="AG16" s="129">
        <v>13.5</v>
      </c>
      <c r="AH16" s="129">
        <v>18.5</v>
      </c>
      <c r="AI16" s="129">
        <f t="shared" si="1"/>
        <v>13.5</v>
      </c>
      <c r="AJ16" s="129">
        <f t="shared" si="2"/>
        <v>18.5</v>
      </c>
      <c r="AK16" s="128">
        <f t="shared" si="3"/>
        <v>1951.87</v>
      </c>
      <c r="AL16" s="128">
        <f t="shared" si="4"/>
        <v>303.63</v>
      </c>
      <c r="AM16" s="128">
        <f t="shared" si="5"/>
        <v>137.35</v>
      </c>
      <c r="AN16" s="128">
        <f t="shared" si="6"/>
        <v>281.94</v>
      </c>
      <c r="AO16" s="128">
        <f t="shared" si="7"/>
        <v>722.92</v>
      </c>
      <c r="AP16" s="128">
        <f t="shared" si="11"/>
        <v>2674.79</v>
      </c>
      <c r="AQ16" s="128">
        <v>2500</v>
      </c>
      <c r="AR16" s="128">
        <v>6587.54</v>
      </c>
      <c r="AS16" s="121" t="s">
        <v>370</v>
      </c>
      <c r="AT16" s="121" t="s">
        <v>96</v>
      </c>
      <c r="AU16" s="128" t="s">
        <v>331</v>
      </c>
      <c r="AV16" s="121" t="s">
        <v>260</v>
      </c>
      <c r="AW16" s="121" t="s">
        <v>371</v>
      </c>
      <c r="AX16" s="121" t="s">
        <v>243</v>
      </c>
      <c r="AY16" s="121" t="s">
        <v>244</v>
      </c>
      <c r="AZ16" s="124" t="s">
        <v>372</v>
      </c>
      <c r="BA16" s="124" t="s">
        <v>373</v>
      </c>
      <c r="BB16" s="124" t="s">
        <v>374</v>
      </c>
      <c r="BC16" s="121" t="s">
        <v>375</v>
      </c>
      <c r="BD16" s="121" t="s">
        <v>249</v>
      </c>
      <c r="BE16" s="124" t="s">
        <v>98</v>
      </c>
      <c r="BF16" s="122" t="s">
        <v>155</v>
      </c>
      <c r="BG16" s="127">
        <v>46153</v>
      </c>
    </row>
    <row r="17" spans="1:59" ht="42" customHeight="1" x14ac:dyDescent="0.25">
      <c r="A17" s="121" t="s">
        <v>77</v>
      </c>
      <c r="B17" s="122" t="s">
        <v>376</v>
      </c>
      <c r="C17" s="123">
        <v>16</v>
      </c>
      <c r="D17" s="122" t="s">
        <v>367</v>
      </c>
      <c r="E17" s="124" t="s">
        <v>367</v>
      </c>
      <c r="F17" s="124" t="s">
        <v>368</v>
      </c>
      <c r="G17" s="121" t="s">
        <v>367</v>
      </c>
      <c r="H17" s="121" t="s">
        <v>153</v>
      </c>
      <c r="I17" s="121" t="s">
        <v>95</v>
      </c>
      <c r="J17" s="122" t="s">
        <v>234</v>
      </c>
      <c r="K17" s="121" t="s">
        <v>132</v>
      </c>
      <c r="L17" s="122" t="s">
        <v>95</v>
      </c>
      <c r="M17" s="122" t="s">
        <v>128</v>
      </c>
      <c r="N17" s="122" t="s">
        <v>156</v>
      </c>
      <c r="O17" s="122" t="s">
        <v>235</v>
      </c>
      <c r="P17" s="125">
        <v>2538</v>
      </c>
      <c r="Q17" s="123">
        <v>4273</v>
      </c>
      <c r="R17" s="126">
        <f t="shared" si="9"/>
        <v>0.59396208752632806</v>
      </c>
      <c r="S17" s="127">
        <v>45413</v>
      </c>
      <c r="T17" s="127">
        <v>46873</v>
      </c>
      <c r="U17" s="134">
        <f t="shared" si="8"/>
        <v>47</v>
      </c>
      <c r="V17" s="121" t="s">
        <v>236</v>
      </c>
      <c r="W17" s="121" t="s">
        <v>369</v>
      </c>
      <c r="X17" s="127">
        <v>45413</v>
      </c>
      <c r="Y17" s="127">
        <v>47361</v>
      </c>
      <c r="Z17" s="134">
        <f t="shared" si="10"/>
        <v>63</v>
      </c>
      <c r="AA17" s="128">
        <v>4807.12</v>
      </c>
      <c r="AB17" s="128">
        <v>747.78</v>
      </c>
      <c r="AC17" s="128">
        <v>338.27916666666658</v>
      </c>
      <c r="AD17" s="128">
        <v>694.36250000000007</v>
      </c>
      <c r="AE17" s="128">
        <f t="shared" si="0"/>
        <v>1780.4216666666666</v>
      </c>
      <c r="AF17" s="128">
        <v>6587.5416666666661</v>
      </c>
      <c r="AG17" s="129">
        <v>13.5</v>
      </c>
      <c r="AH17" s="129">
        <v>18.5</v>
      </c>
      <c r="AI17" s="129">
        <f t="shared" si="1"/>
        <v>13.5</v>
      </c>
      <c r="AJ17" s="129">
        <f t="shared" si="2"/>
        <v>18.5</v>
      </c>
      <c r="AK17" s="128">
        <f t="shared" si="3"/>
        <v>2855.25</v>
      </c>
      <c r="AL17" s="128">
        <f t="shared" si="4"/>
        <v>444.15</v>
      </c>
      <c r="AM17" s="128">
        <f t="shared" si="5"/>
        <v>200.93</v>
      </c>
      <c r="AN17" s="128">
        <f t="shared" si="6"/>
        <v>412.43</v>
      </c>
      <c r="AO17" s="128">
        <f t="shared" si="7"/>
        <v>1057.5</v>
      </c>
      <c r="AP17" s="128">
        <f t="shared" si="11"/>
        <v>3912.75</v>
      </c>
      <c r="AQ17" s="128">
        <v>2500</v>
      </c>
      <c r="AR17" s="128">
        <v>6587.54</v>
      </c>
      <c r="AS17" s="121" t="s">
        <v>370</v>
      </c>
      <c r="AT17" s="121" t="s">
        <v>96</v>
      </c>
      <c r="AU17" s="128" t="s">
        <v>331</v>
      </c>
      <c r="AV17" s="121" t="s">
        <v>260</v>
      </c>
      <c r="AW17" s="121" t="s">
        <v>371</v>
      </c>
      <c r="AX17" s="121" t="s">
        <v>243</v>
      </c>
      <c r="AY17" s="121" t="s">
        <v>244</v>
      </c>
      <c r="AZ17" s="124" t="s">
        <v>372</v>
      </c>
      <c r="BA17" s="124" t="s">
        <v>373</v>
      </c>
      <c r="BB17" s="124" t="s">
        <v>374</v>
      </c>
      <c r="BC17" s="121" t="s">
        <v>375</v>
      </c>
      <c r="BD17" s="121" t="s">
        <v>249</v>
      </c>
      <c r="BE17" s="124" t="s">
        <v>98</v>
      </c>
      <c r="BF17" s="122" t="s">
        <v>155</v>
      </c>
      <c r="BG17" s="127">
        <v>46153</v>
      </c>
    </row>
    <row r="18" spans="1:59" ht="42" customHeight="1" x14ac:dyDescent="0.25">
      <c r="A18" s="121" t="s">
        <v>77</v>
      </c>
      <c r="B18" s="122" t="s">
        <v>157</v>
      </c>
      <c r="C18" s="123">
        <v>17</v>
      </c>
      <c r="D18" s="122" t="s">
        <v>377</v>
      </c>
      <c r="E18" s="124" t="s">
        <v>377</v>
      </c>
      <c r="F18" s="124" t="s">
        <v>378</v>
      </c>
      <c r="G18" s="121" t="s">
        <v>377</v>
      </c>
      <c r="H18" s="121" t="s">
        <v>157</v>
      </c>
      <c r="I18" s="121" t="s">
        <v>253</v>
      </c>
      <c r="J18" s="122" t="s">
        <v>234</v>
      </c>
      <c r="K18" s="121" t="s">
        <v>132</v>
      </c>
      <c r="L18" s="122" t="s">
        <v>95</v>
      </c>
      <c r="M18" s="122" t="s">
        <v>128</v>
      </c>
      <c r="N18" s="122" t="s">
        <v>160</v>
      </c>
      <c r="O18" s="122" t="s">
        <v>235</v>
      </c>
      <c r="P18" s="125">
        <v>1789</v>
      </c>
      <c r="Q18" s="123">
        <v>1789</v>
      </c>
      <c r="R18" s="126">
        <f t="shared" si="9"/>
        <v>1</v>
      </c>
      <c r="S18" s="127">
        <v>45369</v>
      </c>
      <c r="T18" s="127">
        <v>47361</v>
      </c>
      <c r="U18" s="134">
        <f t="shared" si="8"/>
        <v>65</v>
      </c>
      <c r="V18" s="121" t="s">
        <v>236</v>
      </c>
      <c r="W18" s="121" t="s">
        <v>379</v>
      </c>
      <c r="X18" s="127">
        <v>45352</v>
      </c>
      <c r="Y18" s="127">
        <v>47361</v>
      </c>
      <c r="Z18" s="134">
        <f t="shared" si="10"/>
        <v>65</v>
      </c>
      <c r="AA18" s="128">
        <v>2087.17</v>
      </c>
      <c r="AB18" s="128">
        <v>313.07</v>
      </c>
      <c r="AC18" s="128">
        <v>141.62916666666669</v>
      </c>
      <c r="AD18" s="128">
        <v>290.71249999999998</v>
      </c>
      <c r="AE18" s="128">
        <f t="shared" si="0"/>
        <v>745.41166666666663</v>
      </c>
      <c r="AF18" s="128">
        <v>2832.5816666666669</v>
      </c>
      <c r="AG18" s="129">
        <v>14</v>
      </c>
      <c r="AH18" s="129">
        <v>19</v>
      </c>
      <c r="AI18" s="129">
        <f t="shared" si="1"/>
        <v>14</v>
      </c>
      <c r="AJ18" s="129">
        <f t="shared" si="2"/>
        <v>19</v>
      </c>
      <c r="AK18" s="128">
        <f t="shared" si="3"/>
        <v>2087.17</v>
      </c>
      <c r="AL18" s="128">
        <f t="shared" si="4"/>
        <v>313.07</v>
      </c>
      <c r="AM18" s="128">
        <f t="shared" si="5"/>
        <v>141.63</v>
      </c>
      <c r="AN18" s="128">
        <f t="shared" si="6"/>
        <v>290.70999999999998</v>
      </c>
      <c r="AO18" s="128">
        <f t="shared" si="7"/>
        <v>745.41</v>
      </c>
      <c r="AP18" s="128">
        <f t="shared" si="11"/>
        <v>2832.58</v>
      </c>
      <c r="AQ18" s="128">
        <v>2832.58</v>
      </c>
      <c r="AR18" s="128">
        <v>2832.58</v>
      </c>
      <c r="AS18" s="121" t="s">
        <v>380</v>
      </c>
      <c r="AT18" s="121" t="s">
        <v>96</v>
      </c>
      <c r="AU18" s="128" t="s">
        <v>331</v>
      </c>
      <c r="AV18" s="121" t="s">
        <v>260</v>
      </c>
      <c r="AW18" s="121" t="s">
        <v>371</v>
      </c>
      <c r="AX18" s="121" t="s">
        <v>243</v>
      </c>
      <c r="AY18" s="121" t="s">
        <v>244</v>
      </c>
      <c r="AZ18" s="124" t="s">
        <v>381</v>
      </c>
      <c r="BA18" s="124" t="s">
        <v>382</v>
      </c>
      <c r="BB18" s="124" t="s">
        <v>383</v>
      </c>
      <c r="BC18" s="121" t="s">
        <v>384</v>
      </c>
      <c r="BD18" s="121" t="s">
        <v>249</v>
      </c>
      <c r="BE18" s="124" t="s">
        <v>98</v>
      </c>
      <c r="BF18" s="122" t="s">
        <v>159</v>
      </c>
      <c r="BG18" s="127">
        <v>46153</v>
      </c>
    </row>
    <row r="19" spans="1:59" ht="42" customHeight="1" x14ac:dyDescent="0.25">
      <c r="A19" s="121" t="s">
        <v>77</v>
      </c>
      <c r="B19" s="122" t="s">
        <v>161</v>
      </c>
      <c r="C19" s="123">
        <v>18</v>
      </c>
      <c r="D19" s="122" t="s">
        <v>385</v>
      </c>
      <c r="E19" s="124" t="s">
        <v>385</v>
      </c>
      <c r="F19" s="124" t="s">
        <v>96</v>
      </c>
      <c r="G19" s="121" t="s">
        <v>385</v>
      </c>
      <c r="H19" s="121" t="s">
        <v>161</v>
      </c>
      <c r="I19" s="121" t="s">
        <v>253</v>
      </c>
      <c r="J19" s="122" t="s">
        <v>385</v>
      </c>
      <c r="K19" s="121" t="s">
        <v>165</v>
      </c>
      <c r="L19" s="122" t="s">
        <v>95</v>
      </c>
      <c r="M19" s="122" t="s">
        <v>162</v>
      </c>
      <c r="N19" s="122" t="s">
        <v>164</v>
      </c>
      <c r="O19" s="122" t="s">
        <v>235</v>
      </c>
      <c r="P19" s="125">
        <v>1907</v>
      </c>
      <c r="Q19" s="123">
        <v>1907</v>
      </c>
      <c r="R19" s="126">
        <f t="shared" si="9"/>
        <v>1</v>
      </c>
      <c r="S19" s="127"/>
      <c r="T19" s="127"/>
      <c r="U19" s="134">
        <f t="shared" si="8"/>
        <v>0</v>
      </c>
      <c r="V19" s="121" t="s">
        <v>386</v>
      </c>
      <c r="W19" s="121" t="s">
        <v>96</v>
      </c>
      <c r="X19" s="127"/>
      <c r="Y19" s="127"/>
      <c r="Z19" s="134">
        <f t="shared" si="10"/>
        <v>0</v>
      </c>
      <c r="AA19" s="128"/>
      <c r="AB19" s="128"/>
      <c r="AC19" s="128"/>
      <c r="AD19" s="128"/>
      <c r="AE19" s="128" t="str">
        <f t="shared" si="0"/>
        <v/>
      </c>
      <c r="AF19" s="128"/>
      <c r="AG19" s="129"/>
      <c r="AH19" s="129"/>
      <c r="AI19" s="129" t="str">
        <f t="shared" si="1"/>
        <v/>
      </c>
      <c r="AJ19" s="129" t="str">
        <f t="shared" si="2"/>
        <v/>
      </c>
      <c r="AK19" s="128" t="str">
        <f t="shared" si="3"/>
        <v/>
      </c>
      <c r="AL19" s="128" t="str">
        <f t="shared" si="4"/>
        <v/>
      </c>
      <c r="AM19" s="128" t="str">
        <f t="shared" si="5"/>
        <v/>
      </c>
      <c r="AN19" s="128" t="str">
        <f t="shared" si="6"/>
        <v/>
      </c>
      <c r="AO19" s="128" t="str">
        <f t="shared" si="7"/>
        <v/>
      </c>
      <c r="AP19" s="128" t="str">
        <f t="shared" si="11"/>
        <v/>
      </c>
      <c r="AQ19" s="128"/>
      <c r="AR19" s="128"/>
      <c r="AS19" s="121" t="s">
        <v>96</v>
      </c>
      <c r="AT19" s="121" t="s">
        <v>96</v>
      </c>
      <c r="AU19" s="128" t="s">
        <v>96</v>
      </c>
      <c r="AV19" s="121" t="s">
        <v>96</v>
      </c>
      <c r="AW19" s="121" t="s">
        <v>96</v>
      </c>
      <c r="AX19" s="121" t="s">
        <v>243</v>
      </c>
      <c r="AY19" s="121" t="s">
        <v>244</v>
      </c>
      <c r="AZ19" s="124" t="s">
        <v>96</v>
      </c>
      <c r="BA19" s="124" t="s">
        <v>96</v>
      </c>
      <c r="BB19" s="124" t="s">
        <v>96</v>
      </c>
      <c r="BC19" s="121" t="s">
        <v>387</v>
      </c>
      <c r="BD19" s="121" t="s">
        <v>249</v>
      </c>
      <c r="BE19" s="124" t="s">
        <v>98</v>
      </c>
      <c r="BF19" s="122" t="s">
        <v>96</v>
      </c>
      <c r="BG19" s="127">
        <v>46153</v>
      </c>
    </row>
    <row r="20" spans="1:59" ht="42" customHeight="1" x14ac:dyDescent="0.25">
      <c r="A20" s="121" t="s">
        <v>77</v>
      </c>
      <c r="B20" s="122" t="s">
        <v>388</v>
      </c>
      <c r="C20" s="123">
        <v>19</v>
      </c>
      <c r="D20" s="122" t="s">
        <v>385</v>
      </c>
      <c r="E20" s="124" t="s">
        <v>385</v>
      </c>
      <c r="F20" s="124" t="s">
        <v>96</v>
      </c>
      <c r="G20" s="121" t="s">
        <v>385</v>
      </c>
      <c r="H20" s="121" t="s">
        <v>388</v>
      </c>
      <c r="I20" s="121" t="s">
        <v>253</v>
      </c>
      <c r="J20" s="122" t="s">
        <v>385</v>
      </c>
      <c r="K20" s="121" t="s">
        <v>165</v>
      </c>
      <c r="L20" s="122" t="s">
        <v>253</v>
      </c>
      <c r="M20" s="122" t="s">
        <v>389</v>
      </c>
      <c r="N20" s="122" t="s">
        <v>390</v>
      </c>
      <c r="O20" s="122" t="s">
        <v>235</v>
      </c>
      <c r="P20" s="125">
        <v>1272</v>
      </c>
      <c r="Q20" s="123">
        <v>1272</v>
      </c>
      <c r="R20" s="126">
        <f t="shared" si="9"/>
        <v>1</v>
      </c>
      <c r="S20" s="127"/>
      <c r="T20" s="127"/>
      <c r="U20" s="134">
        <f t="shared" si="8"/>
        <v>0</v>
      </c>
      <c r="V20" s="121" t="s">
        <v>386</v>
      </c>
      <c r="W20" s="121" t="s">
        <v>96</v>
      </c>
      <c r="X20" s="127"/>
      <c r="Y20" s="127"/>
      <c r="Z20" s="134">
        <f t="shared" si="10"/>
        <v>0</v>
      </c>
      <c r="AA20" s="128"/>
      <c r="AB20" s="128"/>
      <c r="AC20" s="128"/>
      <c r="AD20" s="128"/>
      <c r="AE20" s="128" t="str">
        <f t="shared" si="0"/>
        <v/>
      </c>
      <c r="AF20" s="128"/>
      <c r="AG20" s="129"/>
      <c r="AH20" s="129"/>
      <c r="AI20" s="129" t="str">
        <f t="shared" si="1"/>
        <v/>
      </c>
      <c r="AJ20" s="129" t="str">
        <f t="shared" si="2"/>
        <v/>
      </c>
      <c r="AK20" s="128" t="str">
        <f t="shared" si="3"/>
        <v/>
      </c>
      <c r="AL20" s="128" t="str">
        <f t="shared" si="4"/>
        <v/>
      </c>
      <c r="AM20" s="128" t="str">
        <f t="shared" si="5"/>
        <v/>
      </c>
      <c r="AN20" s="128" t="str">
        <f t="shared" si="6"/>
        <v/>
      </c>
      <c r="AO20" s="128" t="str">
        <f t="shared" si="7"/>
        <v/>
      </c>
      <c r="AP20" s="128" t="str">
        <f t="shared" si="11"/>
        <v/>
      </c>
      <c r="AQ20" s="128"/>
      <c r="AR20" s="128"/>
      <c r="AS20" s="121" t="s">
        <v>96</v>
      </c>
      <c r="AT20" s="121" t="s">
        <v>96</v>
      </c>
      <c r="AU20" s="128" t="s">
        <v>96</v>
      </c>
      <c r="AV20" s="121" t="s">
        <v>96</v>
      </c>
      <c r="AW20" s="121" t="s">
        <v>96</v>
      </c>
      <c r="AX20" s="121" t="s">
        <v>243</v>
      </c>
      <c r="AY20" s="121" t="s">
        <v>244</v>
      </c>
      <c r="AZ20" s="124" t="s">
        <v>96</v>
      </c>
      <c r="BA20" s="124" t="s">
        <v>96</v>
      </c>
      <c r="BB20" s="124" t="s">
        <v>96</v>
      </c>
      <c r="BC20" s="121" t="s">
        <v>391</v>
      </c>
      <c r="BD20" s="121" t="s">
        <v>249</v>
      </c>
      <c r="BE20" s="124" t="s">
        <v>98</v>
      </c>
      <c r="BF20" s="122" t="s">
        <v>96</v>
      </c>
      <c r="BG20" s="127">
        <v>46153</v>
      </c>
    </row>
    <row r="21" spans="1:59" ht="42" customHeight="1" x14ac:dyDescent="0.25">
      <c r="A21" s="121" t="s">
        <v>77</v>
      </c>
      <c r="B21" s="122" t="s">
        <v>166</v>
      </c>
      <c r="C21" s="123">
        <v>20</v>
      </c>
      <c r="D21" s="122" t="s">
        <v>392</v>
      </c>
      <c r="E21" s="124" t="s">
        <v>392</v>
      </c>
      <c r="F21" s="124" t="s">
        <v>393</v>
      </c>
      <c r="G21" s="121" t="s">
        <v>394</v>
      </c>
      <c r="H21" s="121" t="s">
        <v>166</v>
      </c>
      <c r="I21" s="121" t="s">
        <v>253</v>
      </c>
      <c r="J21" s="122" t="s">
        <v>234</v>
      </c>
      <c r="K21" s="121" t="s">
        <v>132</v>
      </c>
      <c r="L21" s="122" t="s">
        <v>95</v>
      </c>
      <c r="M21" s="122" t="s">
        <v>167</v>
      </c>
      <c r="N21" s="122" t="s">
        <v>170</v>
      </c>
      <c r="O21" s="122" t="s">
        <v>235</v>
      </c>
      <c r="P21" s="125">
        <v>1580</v>
      </c>
      <c r="Q21" s="123">
        <v>1580</v>
      </c>
      <c r="R21" s="126">
        <f t="shared" si="9"/>
        <v>1</v>
      </c>
      <c r="S21" s="127">
        <v>45597</v>
      </c>
      <c r="T21" s="127">
        <v>47999</v>
      </c>
      <c r="U21" s="134">
        <f t="shared" si="8"/>
        <v>78</v>
      </c>
      <c r="V21" s="121" t="s">
        <v>236</v>
      </c>
      <c r="W21" s="121" t="s">
        <v>395</v>
      </c>
      <c r="X21" s="127">
        <v>45597</v>
      </c>
      <c r="Y21" s="127">
        <v>47999</v>
      </c>
      <c r="Z21" s="134">
        <f t="shared" si="10"/>
        <v>78</v>
      </c>
      <c r="AA21" s="128">
        <v>1382.5</v>
      </c>
      <c r="AB21" s="128">
        <v>276.5</v>
      </c>
      <c r="AC21" s="128">
        <v>125.0833333333333</v>
      </c>
      <c r="AD21" s="128">
        <v>256.75</v>
      </c>
      <c r="AE21" s="128">
        <f t="shared" si="0"/>
        <v>658.33333333333326</v>
      </c>
      <c r="AF21" s="128">
        <v>2040.833333333333</v>
      </c>
      <c r="AG21" s="129">
        <v>10.5</v>
      </c>
      <c r="AH21" s="129">
        <v>15.5</v>
      </c>
      <c r="AI21" s="129">
        <f t="shared" si="1"/>
        <v>10.5</v>
      </c>
      <c r="AJ21" s="129">
        <f t="shared" si="2"/>
        <v>15.5</v>
      </c>
      <c r="AK21" s="128">
        <f t="shared" si="3"/>
        <v>1382.5</v>
      </c>
      <c r="AL21" s="128">
        <f t="shared" si="4"/>
        <v>276.5</v>
      </c>
      <c r="AM21" s="128">
        <f t="shared" si="5"/>
        <v>125.08</v>
      </c>
      <c r="AN21" s="128">
        <f t="shared" si="6"/>
        <v>256.75</v>
      </c>
      <c r="AO21" s="128">
        <f t="shared" si="7"/>
        <v>658.33</v>
      </c>
      <c r="AP21" s="128">
        <f t="shared" si="11"/>
        <v>2040.83</v>
      </c>
      <c r="AQ21" s="128">
        <v>1580</v>
      </c>
      <c r="AR21" s="128">
        <v>2304.17</v>
      </c>
      <c r="AS21" s="121" t="s">
        <v>396</v>
      </c>
      <c r="AT21" s="121" t="s">
        <v>96</v>
      </c>
      <c r="AU21" s="128" t="s">
        <v>331</v>
      </c>
      <c r="AV21" s="121" t="s">
        <v>260</v>
      </c>
      <c r="AW21" s="121" t="s">
        <v>371</v>
      </c>
      <c r="AX21" s="121" t="s">
        <v>397</v>
      </c>
      <c r="AY21" s="121" t="s">
        <v>244</v>
      </c>
      <c r="AZ21" s="124" t="s">
        <v>398</v>
      </c>
      <c r="BA21" s="124" t="s">
        <v>399</v>
      </c>
      <c r="BB21" s="124" t="s">
        <v>400</v>
      </c>
      <c r="BC21" s="121" t="s">
        <v>401</v>
      </c>
      <c r="BD21" s="121" t="s">
        <v>249</v>
      </c>
      <c r="BE21" s="124" t="s">
        <v>98</v>
      </c>
      <c r="BF21" s="122" t="s">
        <v>169</v>
      </c>
      <c r="BG21" s="127">
        <v>46153</v>
      </c>
    </row>
    <row r="22" spans="1:59" ht="42" customHeight="1" x14ac:dyDescent="0.25">
      <c r="A22" s="121" t="s">
        <v>77</v>
      </c>
      <c r="B22" s="131" t="s">
        <v>402</v>
      </c>
      <c r="C22" s="123">
        <v>21</v>
      </c>
      <c r="D22" s="131" t="s">
        <v>403</v>
      </c>
      <c r="E22" s="124" t="s">
        <v>403</v>
      </c>
      <c r="F22" s="124" t="s">
        <v>404</v>
      </c>
      <c r="G22" s="121" t="s">
        <v>403</v>
      </c>
      <c r="H22" s="121" t="s">
        <v>402</v>
      </c>
      <c r="I22" s="121" t="s">
        <v>253</v>
      </c>
      <c r="J22" s="131" t="s">
        <v>405</v>
      </c>
      <c r="K22" s="121" t="s">
        <v>406</v>
      </c>
      <c r="L22" s="122" t="s">
        <v>253</v>
      </c>
      <c r="M22" s="131"/>
      <c r="N22" s="122" t="s">
        <v>407</v>
      </c>
      <c r="O22" s="131" t="s">
        <v>235</v>
      </c>
      <c r="P22" s="125">
        <v>1580</v>
      </c>
      <c r="Q22" s="123">
        <v>1580</v>
      </c>
      <c r="R22" s="126">
        <f t="shared" si="9"/>
        <v>1</v>
      </c>
      <c r="S22" s="127"/>
      <c r="T22" s="127"/>
      <c r="U22" s="134">
        <f t="shared" si="8"/>
        <v>0</v>
      </c>
      <c r="V22" s="121" t="s">
        <v>386</v>
      </c>
      <c r="W22" s="121" t="s">
        <v>96</v>
      </c>
      <c r="X22" s="127"/>
      <c r="Y22" s="127"/>
      <c r="Z22" s="134">
        <f t="shared" si="10"/>
        <v>0</v>
      </c>
      <c r="AA22" s="128"/>
      <c r="AB22" s="128"/>
      <c r="AC22" s="128">
        <v>0</v>
      </c>
      <c r="AD22" s="128">
        <v>0</v>
      </c>
      <c r="AE22" s="128">
        <f t="shared" si="0"/>
        <v>0</v>
      </c>
      <c r="AF22" s="128"/>
      <c r="AG22" s="129"/>
      <c r="AH22" s="129"/>
      <c r="AI22" s="129" t="str">
        <f t="shared" si="1"/>
        <v/>
      </c>
      <c r="AJ22" s="129" t="str">
        <f t="shared" si="2"/>
        <v/>
      </c>
      <c r="AK22" s="128" t="str">
        <f t="shared" si="3"/>
        <v/>
      </c>
      <c r="AL22" s="128" t="str">
        <f t="shared" si="4"/>
        <v/>
      </c>
      <c r="AM22" s="128">
        <f t="shared" si="5"/>
        <v>0</v>
      </c>
      <c r="AN22" s="128">
        <f t="shared" si="6"/>
        <v>0</v>
      </c>
      <c r="AO22" s="128">
        <f t="shared" si="7"/>
        <v>0</v>
      </c>
      <c r="AP22" s="128" t="str">
        <f t="shared" si="11"/>
        <v/>
      </c>
      <c r="AQ22" s="128"/>
      <c r="AR22" s="128"/>
      <c r="AS22" s="121" t="s">
        <v>96</v>
      </c>
      <c r="AT22" s="121" t="s">
        <v>96</v>
      </c>
      <c r="AU22" s="128" t="s">
        <v>96</v>
      </c>
      <c r="AV22" s="121" t="s">
        <v>304</v>
      </c>
      <c r="AW22" s="121" t="s">
        <v>96</v>
      </c>
      <c r="AX22" s="121" t="s">
        <v>243</v>
      </c>
      <c r="AY22" s="121" t="s">
        <v>244</v>
      </c>
      <c r="AZ22" s="124" t="s">
        <v>408</v>
      </c>
      <c r="BA22" s="124" t="s">
        <v>409</v>
      </c>
      <c r="BB22" s="124" t="s">
        <v>410</v>
      </c>
      <c r="BC22" s="121" t="s">
        <v>411</v>
      </c>
      <c r="BD22" s="121" t="s">
        <v>249</v>
      </c>
      <c r="BE22" s="124" t="s">
        <v>98</v>
      </c>
      <c r="BF22" s="131" t="s">
        <v>96</v>
      </c>
      <c r="BG22" s="127">
        <v>46153</v>
      </c>
    </row>
    <row r="23" spans="1:59" ht="42" customHeight="1" x14ac:dyDescent="0.25">
      <c r="A23" s="121" t="s">
        <v>77</v>
      </c>
      <c r="B23" s="122" t="s">
        <v>171</v>
      </c>
      <c r="C23" s="123">
        <v>22</v>
      </c>
      <c r="D23" s="122" t="s">
        <v>412</v>
      </c>
      <c r="E23" s="124" t="s">
        <v>412</v>
      </c>
      <c r="F23" s="124" t="s">
        <v>413</v>
      </c>
      <c r="G23" s="121" t="s">
        <v>412</v>
      </c>
      <c r="H23" s="121" t="s">
        <v>171</v>
      </c>
      <c r="I23" s="121" t="s">
        <v>253</v>
      </c>
      <c r="J23" s="122" t="s">
        <v>234</v>
      </c>
      <c r="K23" s="121" t="s">
        <v>132</v>
      </c>
      <c r="L23" s="122" t="s">
        <v>95</v>
      </c>
      <c r="M23" s="122" t="s">
        <v>128</v>
      </c>
      <c r="N23" s="122" t="s">
        <v>174</v>
      </c>
      <c r="O23" s="122" t="s">
        <v>235</v>
      </c>
      <c r="P23" s="125">
        <v>2053</v>
      </c>
      <c r="Q23" s="123">
        <v>2053</v>
      </c>
      <c r="R23" s="126">
        <f t="shared" si="9"/>
        <v>1</v>
      </c>
      <c r="S23" s="127">
        <v>45931</v>
      </c>
      <c r="T23" s="127">
        <v>47787</v>
      </c>
      <c r="U23" s="134">
        <f t="shared" si="8"/>
        <v>60</v>
      </c>
      <c r="V23" s="121" t="s">
        <v>236</v>
      </c>
      <c r="W23" s="121" t="s">
        <v>414</v>
      </c>
      <c r="X23" s="127">
        <v>45962</v>
      </c>
      <c r="Y23" s="127">
        <v>47787</v>
      </c>
      <c r="Z23" s="134">
        <f t="shared" si="10"/>
        <v>59</v>
      </c>
      <c r="AA23" s="128">
        <v>2309.62</v>
      </c>
      <c r="AB23" s="128">
        <v>359.28</v>
      </c>
      <c r="AC23" s="128">
        <v>162.5291666666667</v>
      </c>
      <c r="AD23" s="128">
        <v>333.61250000000001</v>
      </c>
      <c r="AE23" s="128">
        <f t="shared" si="0"/>
        <v>855.42166666666662</v>
      </c>
      <c r="AF23" s="128">
        <v>3165.041666666667</v>
      </c>
      <c r="AG23" s="129">
        <v>13.5</v>
      </c>
      <c r="AH23" s="129">
        <v>18.5</v>
      </c>
      <c r="AI23" s="129">
        <f t="shared" si="1"/>
        <v>13.5</v>
      </c>
      <c r="AJ23" s="129">
        <f t="shared" si="2"/>
        <v>18.5</v>
      </c>
      <c r="AK23" s="128">
        <f t="shared" si="3"/>
        <v>2309.62</v>
      </c>
      <c r="AL23" s="128">
        <f t="shared" si="4"/>
        <v>359.28</v>
      </c>
      <c r="AM23" s="128">
        <f t="shared" si="5"/>
        <v>162.53</v>
      </c>
      <c r="AN23" s="128">
        <f t="shared" si="6"/>
        <v>333.61</v>
      </c>
      <c r="AO23" s="128">
        <f t="shared" si="7"/>
        <v>855.42</v>
      </c>
      <c r="AP23" s="128">
        <f t="shared" si="11"/>
        <v>3165.04</v>
      </c>
      <c r="AQ23" s="128"/>
      <c r="AR23" s="128">
        <v>3062.55</v>
      </c>
      <c r="AS23" s="121" t="s">
        <v>415</v>
      </c>
      <c r="AT23" s="121" t="s">
        <v>96</v>
      </c>
      <c r="AU23" s="128" t="s">
        <v>331</v>
      </c>
      <c r="AV23" s="121" t="s">
        <v>260</v>
      </c>
      <c r="AW23" s="121" t="s">
        <v>261</v>
      </c>
      <c r="AX23" s="121" t="s">
        <v>243</v>
      </c>
      <c r="AY23" s="121" t="s">
        <v>244</v>
      </c>
      <c r="AZ23" s="124" t="s">
        <v>416</v>
      </c>
      <c r="BA23" s="124" t="s">
        <v>417</v>
      </c>
      <c r="BB23" s="124" t="s">
        <v>418</v>
      </c>
      <c r="BC23" s="121" t="s">
        <v>419</v>
      </c>
      <c r="BD23" s="121" t="s">
        <v>249</v>
      </c>
      <c r="BE23" s="124" t="s">
        <v>98</v>
      </c>
      <c r="BF23" s="122" t="s">
        <v>173</v>
      </c>
      <c r="BG23" s="127">
        <v>46153</v>
      </c>
    </row>
    <row r="24" spans="1:59" ht="42" customHeight="1" x14ac:dyDescent="0.25">
      <c r="A24" s="121" t="s">
        <v>77</v>
      </c>
      <c r="B24" s="122" t="s">
        <v>175</v>
      </c>
      <c r="C24" s="123">
        <v>23</v>
      </c>
      <c r="D24" s="122" t="s">
        <v>420</v>
      </c>
      <c r="E24" s="124" t="s">
        <v>420</v>
      </c>
      <c r="F24" s="124" t="s">
        <v>421</v>
      </c>
      <c r="G24" s="121" t="s">
        <v>420</v>
      </c>
      <c r="H24" s="121" t="s">
        <v>176</v>
      </c>
      <c r="I24" s="121" t="s">
        <v>95</v>
      </c>
      <c r="J24" s="122" t="s">
        <v>234</v>
      </c>
      <c r="K24" s="121" t="s">
        <v>132</v>
      </c>
      <c r="L24" s="122" t="s">
        <v>95</v>
      </c>
      <c r="M24" s="122" t="s">
        <v>128</v>
      </c>
      <c r="N24" s="122" t="s">
        <v>179</v>
      </c>
      <c r="O24" s="122" t="s">
        <v>235</v>
      </c>
      <c r="P24" s="125">
        <v>1917</v>
      </c>
      <c r="Q24" s="123">
        <v>3834</v>
      </c>
      <c r="R24" s="126">
        <f t="shared" si="9"/>
        <v>0.5</v>
      </c>
      <c r="S24" s="127">
        <v>45108</v>
      </c>
      <c r="T24" s="127">
        <v>46507</v>
      </c>
      <c r="U24" s="134">
        <f t="shared" si="8"/>
        <v>45</v>
      </c>
      <c r="V24" s="121" t="s">
        <v>236</v>
      </c>
      <c r="W24" s="121" t="s">
        <v>422</v>
      </c>
      <c r="X24" s="127">
        <v>45108</v>
      </c>
      <c r="Y24" s="127">
        <v>46234</v>
      </c>
      <c r="Z24" s="134">
        <f t="shared" si="10"/>
        <v>36</v>
      </c>
      <c r="AA24" s="128">
        <v>4313.25</v>
      </c>
      <c r="AB24" s="128">
        <v>670.95</v>
      </c>
      <c r="AC24" s="128">
        <v>303.52499999999998</v>
      </c>
      <c r="AD24" s="128">
        <v>623.02499999999998</v>
      </c>
      <c r="AE24" s="128">
        <f t="shared" si="0"/>
        <v>1597.5</v>
      </c>
      <c r="AF24" s="128">
        <v>5910.7499999999991</v>
      </c>
      <c r="AG24" s="129">
        <v>13.5</v>
      </c>
      <c r="AH24" s="129">
        <v>18.5</v>
      </c>
      <c r="AI24" s="129">
        <f t="shared" si="1"/>
        <v>13.5</v>
      </c>
      <c r="AJ24" s="129">
        <f t="shared" si="2"/>
        <v>18.5</v>
      </c>
      <c r="AK24" s="128">
        <f t="shared" si="3"/>
        <v>2156.63</v>
      </c>
      <c r="AL24" s="128">
        <f t="shared" si="4"/>
        <v>335.48</v>
      </c>
      <c r="AM24" s="128">
        <f t="shared" si="5"/>
        <v>151.76</v>
      </c>
      <c r="AN24" s="128">
        <f t="shared" si="6"/>
        <v>311.51</v>
      </c>
      <c r="AO24" s="128">
        <f t="shared" si="7"/>
        <v>798.75</v>
      </c>
      <c r="AP24" s="128">
        <f t="shared" si="11"/>
        <v>2955.38</v>
      </c>
      <c r="AQ24" s="128">
        <v>4313.25</v>
      </c>
      <c r="AR24" s="128">
        <v>5910.75</v>
      </c>
      <c r="AS24" s="121" t="s">
        <v>423</v>
      </c>
      <c r="AT24" s="121" t="s">
        <v>96</v>
      </c>
      <c r="AU24" s="128" t="s">
        <v>331</v>
      </c>
      <c r="AV24" s="121" t="s">
        <v>260</v>
      </c>
      <c r="AW24" s="121" t="s">
        <v>261</v>
      </c>
      <c r="AX24" s="121" t="s">
        <v>243</v>
      </c>
      <c r="AY24" s="121" t="s">
        <v>244</v>
      </c>
      <c r="AZ24" s="124" t="s">
        <v>424</v>
      </c>
      <c r="BA24" s="124" t="s">
        <v>425</v>
      </c>
      <c r="BB24" s="124" t="s">
        <v>426</v>
      </c>
      <c r="BC24" s="121" t="s">
        <v>427</v>
      </c>
      <c r="BD24" s="121" t="s">
        <v>249</v>
      </c>
      <c r="BE24" s="124" t="s">
        <v>98</v>
      </c>
      <c r="BF24" s="122" t="s">
        <v>178</v>
      </c>
      <c r="BG24" s="127">
        <v>46153</v>
      </c>
    </row>
    <row r="25" spans="1:59" ht="42" customHeight="1" x14ac:dyDescent="0.25">
      <c r="A25" s="121" t="s">
        <v>77</v>
      </c>
      <c r="B25" s="122" t="s">
        <v>428</v>
      </c>
      <c r="C25" s="123">
        <v>24</v>
      </c>
      <c r="D25" s="122" t="s">
        <v>420</v>
      </c>
      <c r="E25" s="124" t="s">
        <v>420</v>
      </c>
      <c r="F25" s="124" t="s">
        <v>421</v>
      </c>
      <c r="G25" s="121" t="s">
        <v>420</v>
      </c>
      <c r="H25" s="121" t="s">
        <v>176</v>
      </c>
      <c r="I25" s="121" t="s">
        <v>95</v>
      </c>
      <c r="J25" s="122" t="s">
        <v>234</v>
      </c>
      <c r="K25" s="121" t="s">
        <v>132</v>
      </c>
      <c r="L25" s="122" t="s">
        <v>95</v>
      </c>
      <c r="M25" s="122" t="s">
        <v>128</v>
      </c>
      <c r="N25" s="122" t="s">
        <v>179</v>
      </c>
      <c r="O25" s="122" t="s">
        <v>235</v>
      </c>
      <c r="P25" s="125">
        <v>1917</v>
      </c>
      <c r="Q25" s="123">
        <v>3834</v>
      </c>
      <c r="R25" s="126">
        <f t="shared" si="9"/>
        <v>0.5</v>
      </c>
      <c r="S25" s="127">
        <v>45108</v>
      </c>
      <c r="T25" s="127">
        <v>46507</v>
      </c>
      <c r="U25" s="134">
        <f t="shared" si="8"/>
        <v>45</v>
      </c>
      <c r="V25" s="121" t="s">
        <v>236</v>
      </c>
      <c r="W25" s="121" t="s">
        <v>422</v>
      </c>
      <c r="X25" s="127">
        <v>45108</v>
      </c>
      <c r="Y25" s="127">
        <v>46234</v>
      </c>
      <c r="Z25" s="134">
        <f t="shared" si="10"/>
        <v>36</v>
      </c>
      <c r="AA25" s="128">
        <v>4313.25</v>
      </c>
      <c r="AB25" s="128">
        <v>670.95</v>
      </c>
      <c r="AC25" s="128">
        <v>303.52499999999998</v>
      </c>
      <c r="AD25" s="128">
        <v>623.02499999999998</v>
      </c>
      <c r="AE25" s="128">
        <f t="shared" si="0"/>
        <v>1597.5</v>
      </c>
      <c r="AF25" s="128">
        <v>5910.7499999999991</v>
      </c>
      <c r="AG25" s="129">
        <v>13.5</v>
      </c>
      <c r="AH25" s="129">
        <v>18.5</v>
      </c>
      <c r="AI25" s="129">
        <f t="shared" si="1"/>
        <v>13.5</v>
      </c>
      <c r="AJ25" s="129">
        <f t="shared" si="2"/>
        <v>18.5</v>
      </c>
      <c r="AK25" s="128">
        <f t="shared" si="3"/>
        <v>2156.63</v>
      </c>
      <c r="AL25" s="128">
        <f t="shared" si="4"/>
        <v>335.48</v>
      </c>
      <c r="AM25" s="128">
        <f t="shared" si="5"/>
        <v>151.76</v>
      </c>
      <c r="AN25" s="128">
        <f t="shared" si="6"/>
        <v>311.51</v>
      </c>
      <c r="AO25" s="128">
        <f t="shared" si="7"/>
        <v>798.75</v>
      </c>
      <c r="AP25" s="128">
        <f t="shared" si="11"/>
        <v>2955.38</v>
      </c>
      <c r="AQ25" s="128">
        <v>4313.25</v>
      </c>
      <c r="AR25" s="128">
        <v>5910.75</v>
      </c>
      <c r="AS25" s="121" t="s">
        <v>423</v>
      </c>
      <c r="AT25" s="121" t="s">
        <v>96</v>
      </c>
      <c r="AU25" s="128" t="s">
        <v>331</v>
      </c>
      <c r="AV25" s="121" t="s">
        <v>260</v>
      </c>
      <c r="AW25" s="121" t="s">
        <v>261</v>
      </c>
      <c r="AX25" s="121" t="s">
        <v>243</v>
      </c>
      <c r="AY25" s="121" t="s">
        <v>244</v>
      </c>
      <c r="AZ25" s="124" t="s">
        <v>424</v>
      </c>
      <c r="BA25" s="124" t="s">
        <v>425</v>
      </c>
      <c r="BB25" s="124" t="s">
        <v>426</v>
      </c>
      <c r="BC25" s="121" t="s">
        <v>427</v>
      </c>
      <c r="BD25" s="121" t="s">
        <v>249</v>
      </c>
      <c r="BE25" s="124" t="s">
        <v>98</v>
      </c>
      <c r="BF25" s="122" t="s">
        <v>178</v>
      </c>
      <c r="BG25" s="127">
        <v>46153</v>
      </c>
    </row>
    <row r="26" spans="1:59" ht="42" customHeight="1" x14ac:dyDescent="0.25">
      <c r="A26" s="121" t="s">
        <v>77</v>
      </c>
      <c r="B26" s="130" t="s">
        <v>117</v>
      </c>
      <c r="C26" s="123">
        <v>25</v>
      </c>
      <c r="D26" s="130" t="s">
        <v>429</v>
      </c>
      <c r="E26" s="124" t="s">
        <v>429</v>
      </c>
      <c r="F26" s="124" t="s">
        <v>430</v>
      </c>
      <c r="G26" s="121" t="s">
        <v>429</v>
      </c>
      <c r="H26" s="121" t="s">
        <v>117</v>
      </c>
      <c r="I26" s="121" t="s">
        <v>253</v>
      </c>
      <c r="J26" s="130" t="s">
        <v>254</v>
      </c>
      <c r="K26" s="121" t="s">
        <v>120</v>
      </c>
      <c r="L26" s="130" t="s">
        <v>95</v>
      </c>
      <c r="M26" s="130" t="s">
        <v>90</v>
      </c>
      <c r="N26" s="130" t="s">
        <v>93</v>
      </c>
      <c r="O26" s="130" t="s">
        <v>255</v>
      </c>
      <c r="P26" s="125">
        <v>1917</v>
      </c>
      <c r="Q26" s="123">
        <v>1917</v>
      </c>
      <c r="R26" s="126">
        <f t="shared" si="9"/>
        <v>1</v>
      </c>
      <c r="S26" s="127">
        <v>42248</v>
      </c>
      <c r="T26" s="127">
        <v>46053</v>
      </c>
      <c r="U26" s="134">
        <f t="shared" si="8"/>
        <v>124</v>
      </c>
      <c r="V26" s="121" t="s">
        <v>236</v>
      </c>
      <c r="W26" s="121" t="s">
        <v>431</v>
      </c>
      <c r="X26" s="127">
        <v>44228</v>
      </c>
      <c r="Y26" s="127">
        <v>46053</v>
      </c>
      <c r="Z26" s="134">
        <f t="shared" si="10"/>
        <v>59</v>
      </c>
      <c r="AA26" s="128">
        <v>2556</v>
      </c>
      <c r="AB26" s="128">
        <v>335.48</v>
      </c>
      <c r="AC26" s="128">
        <v>135.78749999999999</v>
      </c>
      <c r="AD26" s="128">
        <v>159.75</v>
      </c>
      <c r="AE26" s="128">
        <f t="shared" si="0"/>
        <v>631.01750000000004</v>
      </c>
      <c r="AF26" s="128">
        <v>3187.0174999999999</v>
      </c>
      <c r="AG26" s="129">
        <v>16</v>
      </c>
      <c r="AH26" s="129">
        <v>19.95</v>
      </c>
      <c r="AI26" s="129">
        <f t="shared" si="1"/>
        <v>16</v>
      </c>
      <c r="AJ26" s="129">
        <f t="shared" si="2"/>
        <v>19.95</v>
      </c>
      <c r="AK26" s="128">
        <f t="shared" si="3"/>
        <v>2556</v>
      </c>
      <c r="AL26" s="128">
        <f t="shared" si="4"/>
        <v>335.48</v>
      </c>
      <c r="AM26" s="128">
        <f t="shared" si="5"/>
        <v>135.79</v>
      </c>
      <c r="AN26" s="128">
        <f t="shared" si="6"/>
        <v>159.75</v>
      </c>
      <c r="AO26" s="128">
        <f t="shared" si="7"/>
        <v>631.02</v>
      </c>
      <c r="AP26" s="128">
        <f t="shared" si="11"/>
        <v>3187.02</v>
      </c>
      <c r="AQ26" s="128"/>
      <c r="AR26" s="128">
        <v>3187.01</v>
      </c>
      <c r="AS26" s="121" t="s">
        <v>432</v>
      </c>
      <c r="AT26" s="121" t="s">
        <v>96</v>
      </c>
      <c r="AU26" s="128" t="s">
        <v>331</v>
      </c>
      <c r="AV26" s="121" t="s">
        <v>260</v>
      </c>
      <c r="AW26" s="121" t="s">
        <v>261</v>
      </c>
      <c r="AX26" s="121" t="s">
        <v>243</v>
      </c>
      <c r="AY26" s="121" t="s">
        <v>244</v>
      </c>
      <c r="AZ26" s="124" t="s">
        <v>96</v>
      </c>
      <c r="BA26" s="124" t="s">
        <v>433</v>
      </c>
      <c r="BB26" s="124" t="s">
        <v>434</v>
      </c>
      <c r="BC26" s="121" t="s">
        <v>435</v>
      </c>
      <c r="BD26" s="121" t="s">
        <v>249</v>
      </c>
      <c r="BE26" s="124" t="s">
        <v>98</v>
      </c>
      <c r="BF26" s="130" t="s">
        <v>119</v>
      </c>
      <c r="BG26" s="127">
        <v>46153</v>
      </c>
    </row>
    <row r="27" spans="1:59" ht="42" customHeight="1" x14ac:dyDescent="0.25">
      <c r="A27" s="121" t="s">
        <v>77</v>
      </c>
      <c r="B27" s="130" t="s">
        <v>121</v>
      </c>
      <c r="C27" s="123">
        <v>26</v>
      </c>
      <c r="D27" s="130" t="s">
        <v>436</v>
      </c>
      <c r="E27" s="124" t="s">
        <v>436</v>
      </c>
      <c r="F27" s="124" t="s">
        <v>437</v>
      </c>
      <c r="G27" s="121" t="s">
        <v>436</v>
      </c>
      <c r="H27" s="121" t="s">
        <v>121</v>
      </c>
      <c r="I27" s="121" t="s">
        <v>253</v>
      </c>
      <c r="J27" s="130" t="s">
        <v>234</v>
      </c>
      <c r="K27" s="121" t="s">
        <v>438</v>
      </c>
      <c r="L27" s="130" t="s">
        <v>253</v>
      </c>
      <c r="M27" s="130"/>
      <c r="N27" s="130" t="s">
        <v>439</v>
      </c>
      <c r="O27" s="130" t="s">
        <v>255</v>
      </c>
      <c r="P27" s="125">
        <v>1917</v>
      </c>
      <c r="Q27" s="123">
        <v>1917</v>
      </c>
      <c r="R27" s="126">
        <f t="shared" si="9"/>
        <v>1</v>
      </c>
      <c r="S27" s="127"/>
      <c r="T27" s="127">
        <v>47879</v>
      </c>
      <c r="U27" s="134">
        <f t="shared" si="8"/>
        <v>1572</v>
      </c>
      <c r="V27" s="121" t="s">
        <v>386</v>
      </c>
      <c r="W27" s="121" t="s">
        <v>96</v>
      </c>
      <c r="X27" s="127"/>
      <c r="Y27" s="127"/>
      <c r="Z27" s="134">
        <f t="shared" si="10"/>
        <v>0</v>
      </c>
      <c r="AA27" s="128">
        <v>3187.01</v>
      </c>
      <c r="AB27" s="128">
        <v>335.47500000000002</v>
      </c>
      <c r="AC27" s="128">
        <v>151.76249999999999</v>
      </c>
      <c r="AD27" s="128">
        <v>311.51249999999999</v>
      </c>
      <c r="AE27" s="128">
        <v>798.75</v>
      </c>
      <c r="AF27" s="128">
        <v>3187.01</v>
      </c>
      <c r="AG27" s="129">
        <v>14.95</v>
      </c>
      <c r="AH27" s="129">
        <v>19.95</v>
      </c>
      <c r="AI27" s="129">
        <v>14.95</v>
      </c>
      <c r="AJ27" s="129">
        <v>19.95</v>
      </c>
      <c r="AK27" s="128">
        <f t="shared" si="3"/>
        <v>3187.01</v>
      </c>
      <c r="AL27" s="128">
        <f t="shared" si="4"/>
        <v>335.48</v>
      </c>
      <c r="AM27" s="128">
        <f t="shared" si="5"/>
        <v>151.76</v>
      </c>
      <c r="AN27" s="128">
        <f t="shared" si="6"/>
        <v>311.51</v>
      </c>
      <c r="AO27" s="128">
        <f t="shared" si="7"/>
        <v>798.75</v>
      </c>
      <c r="AP27" s="128">
        <f t="shared" si="11"/>
        <v>3187.01</v>
      </c>
      <c r="AQ27" s="128">
        <v>1250</v>
      </c>
      <c r="AR27" s="128"/>
      <c r="AS27" s="121" t="s">
        <v>96</v>
      </c>
      <c r="AT27" s="121" t="s">
        <v>96</v>
      </c>
      <c r="AU27" s="128" t="s">
        <v>96</v>
      </c>
      <c r="AV27" s="121" t="s">
        <v>304</v>
      </c>
      <c r="AW27" s="121" t="s">
        <v>96</v>
      </c>
      <c r="AX27" s="121" t="s">
        <v>243</v>
      </c>
      <c r="AY27" s="121" t="s">
        <v>244</v>
      </c>
      <c r="AZ27" s="124" t="s">
        <v>96</v>
      </c>
      <c r="BA27" s="124" t="s">
        <v>440</v>
      </c>
      <c r="BB27" s="124" t="s">
        <v>441</v>
      </c>
      <c r="BC27" s="121" t="s">
        <v>442</v>
      </c>
      <c r="BD27" s="121" t="s">
        <v>249</v>
      </c>
      <c r="BE27" s="124" t="s">
        <v>98</v>
      </c>
      <c r="BF27" s="130" t="s">
        <v>124</v>
      </c>
      <c r="BG27" s="127">
        <v>46153</v>
      </c>
    </row>
    <row r="28" spans="1:59" ht="42" customHeight="1" x14ac:dyDescent="0.25">
      <c r="A28" s="121" t="s">
        <v>77</v>
      </c>
      <c r="B28" s="122" t="s">
        <v>127</v>
      </c>
      <c r="C28" s="123">
        <v>27</v>
      </c>
      <c r="D28" s="122" t="s">
        <v>443</v>
      </c>
      <c r="E28" s="124" t="s">
        <v>443</v>
      </c>
      <c r="F28" s="124" t="s">
        <v>444</v>
      </c>
      <c r="G28" s="121" t="s">
        <v>445</v>
      </c>
      <c r="H28" s="121" t="s">
        <v>127</v>
      </c>
      <c r="I28" s="121" t="s">
        <v>253</v>
      </c>
      <c r="J28" s="122" t="s">
        <v>234</v>
      </c>
      <c r="K28" s="121" t="s">
        <v>132</v>
      </c>
      <c r="L28" s="122" t="s">
        <v>95</v>
      </c>
      <c r="M28" s="122" t="s">
        <v>128</v>
      </c>
      <c r="N28" s="122" t="s">
        <v>131</v>
      </c>
      <c r="O28" s="122" t="s">
        <v>235</v>
      </c>
      <c r="P28" s="125">
        <v>4613</v>
      </c>
      <c r="Q28" s="123">
        <v>4613</v>
      </c>
      <c r="R28" s="126">
        <f t="shared" si="9"/>
        <v>1</v>
      </c>
      <c r="S28" s="127">
        <v>36707</v>
      </c>
      <c r="T28" s="127">
        <v>47787</v>
      </c>
      <c r="U28" s="134">
        <f t="shared" si="8"/>
        <v>364</v>
      </c>
      <c r="V28" s="121" t="s">
        <v>236</v>
      </c>
      <c r="W28" s="121" t="s">
        <v>446</v>
      </c>
      <c r="X28" s="127">
        <v>44927</v>
      </c>
      <c r="Y28" s="127">
        <v>48579</v>
      </c>
      <c r="Z28" s="134">
        <f t="shared" si="10"/>
        <v>119</v>
      </c>
      <c r="AA28" s="128">
        <v>6246.77</v>
      </c>
      <c r="AB28" s="128">
        <v>807.28</v>
      </c>
      <c r="AC28" s="128">
        <v>326.75416666666672</v>
      </c>
      <c r="AD28" s="128">
        <v>384.41666666666669</v>
      </c>
      <c r="AE28" s="128">
        <f>IF(COUNTA(AB28:AD28)=0,"",SUM(AB28:AD28))</f>
        <v>1518.4508333333335</v>
      </c>
      <c r="AF28" s="128">
        <v>7765.2208333333338</v>
      </c>
      <c r="AG28" s="129">
        <v>16.25</v>
      </c>
      <c r="AH28" s="129">
        <v>20.2</v>
      </c>
      <c r="AI28" s="129">
        <f>IF(OR(AA28="",Q28="",Q28=0),"",ROUND(AA28*12/Q28,2))</f>
        <v>16.25</v>
      </c>
      <c r="AJ28" s="129">
        <f>IF(OR(AF28="",Q28="",Q28=0),"",ROUND(AF28*12/Q28,2))</f>
        <v>20.2</v>
      </c>
      <c r="AK28" s="128">
        <f t="shared" si="3"/>
        <v>6246.77</v>
      </c>
      <c r="AL28" s="128">
        <f t="shared" si="4"/>
        <v>807.28</v>
      </c>
      <c r="AM28" s="128">
        <f t="shared" si="5"/>
        <v>326.75</v>
      </c>
      <c r="AN28" s="128">
        <f t="shared" si="6"/>
        <v>384.42</v>
      </c>
      <c r="AO28" s="128">
        <f t="shared" si="7"/>
        <v>1518.45</v>
      </c>
      <c r="AP28" s="128">
        <f t="shared" si="11"/>
        <v>7765.22</v>
      </c>
      <c r="AQ28" s="128">
        <v>0</v>
      </c>
      <c r="AR28" s="128">
        <v>11404.13</v>
      </c>
      <c r="AS28" s="121" t="s">
        <v>447</v>
      </c>
      <c r="AT28" s="121" t="s">
        <v>448</v>
      </c>
      <c r="AU28" s="128" t="s">
        <v>331</v>
      </c>
      <c r="AV28" s="121" t="s">
        <v>260</v>
      </c>
      <c r="AW28" s="121" t="s">
        <v>261</v>
      </c>
      <c r="AX28" s="121" t="s">
        <v>243</v>
      </c>
      <c r="AY28" s="121" t="s">
        <v>244</v>
      </c>
      <c r="AZ28" s="124" t="s">
        <v>449</v>
      </c>
      <c r="BA28" s="124" t="s">
        <v>450</v>
      </c>
      <c r="BB28" s="124" t="s">
        <v>451</v>
      </c>
      <c r="BC28" s="121" t="s">
        <v>452</v>
      </c>
      <c r="BD28" s="121" t="s">
        <v>249</v>
      </c>
      <c r="BE28" s="124" t="s">
        <v>98</v>
      </c>
      <c r="BF28" s="122" t="s">
        <v>130</v>
      </c>
      <c r="BG28" s="127">
        <v>46153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4"/>
  <sheetViews>
    <sheetView showGridLines="0" workbookViewId="0"/>
  </sheetViews>
  <sheetFormatPr defaultRowHeight="15" x14ac:dyDescent="0.25"/>
  <cols>
    <col min="1" max="1" width="19" customWidth="1"/>
    <col min="2" max="2" width="16" customWidth="1"/>
    <col min="3" max="3" width="22" customWidth="1"/>
    <col min="4" max="4" width="23" customWidth="1"/>
    <col min="5" max="5" width="12" customWidth="1"/>
    <col min="6" max="6" width="25" customWidth="1"/>
    <col min="7" max="7" width="12" customWidth="1"/>
    <col min="8" max="8" width="26" customWidth="1"/>
    <col min="9" max="9" width="24" customWidth="1"/>
    <col min="10" max="10" width="25" customWidth="1"/>
    <col min="11" max="11" width="23" customWidth="1"/>
    <col min="12" max="12" width="22" customWidth="1"/>
    <col min="13" max="13" width="17" customWidth="1"/>
    <col min="14" max="15" width="45" customWidth="1"/>
  </cols>
  <sheetData>
    <row r="1" spans="1:15" ht="35.1" customHeight="1" x14ac:dyDescent="0.25">
      <c r="A1" s="102" t="s">
        <v>78</v>
      </c>
      <c r="B1" s="102" t="s">
        <v>453</v>
      </c>
      <c r="C1" s="102" t="s">
        <v>182</v>
      </c>
      <c r="D1" s="102" t="s">
        <v>187</v>
      </c>
      <c r="E1" s="102" t="s">
        <v>454</v>
      </c>
      <c r="F1" s="102" t="s">
        <v>200</v>
      </c>
      <c r="G1" s="102" t="s">
        <v>204</v>
      </c>
      <c r="H1" s="102" t="s">
        <v>205</v>
      </c>
      <c r="I1" s="102" t="s">
        <v>216</v>
      </c>
      <c r="J1" s="102" t="s">
        <v>194</v>
      </c>
      <c r="K1" s="102" t="s">
        <v>195</v>
      </c>
      <c r="L1" s="102" t="s">
        <v>84</v>
      </c>
      <c r="M1" s="102" t="s">
        <v>189</v>
      </c>
      <c r="N1" s="102" t="s">
        <v>230</v>
      </c>
      <c r="O1" s="102" t="s">
        <v>82</v>
      </c>
    </row>
    <row r="2" spans="1:15" ht="42" customHeight="1" x14ac:dyDescent="0.25">
      <c r="A2" s="103" t="s">
        <v>135</v>
      </c>
      <c r="B2" s="103" t="s">
        <v>455</v>
      </c>
      <c r="C2" s="103" t="s">
        <v>232</v>
      </c>
      <c r="D2" s="103" t="s">
        <v>234</v>
      </c>
      <c r="E2" s="107">
        <v>9928</v>
      </c>
      <c r="F2" s="104">
        <v>12699.57</v>
      </c>
      <c r="G2" s="104">
        <f t="shared" ref="G2:G24" si="0">IF(OR(F2="",H2=""),"",H2-F2)</f>
        <v>3309.3333333333303</v>
      </c>
      <c r="H2" s="104">
        <v>16008.90333333333</v>
      </c>
      <c r="I2" s="104">
        <v>12699.57</v>
      </c>
      <c r="J2" s="108">
        <v>44652</v>
      </c>
      <c r="K2" s="108">
        <v>46446</v>
      </c>
      <c r="L2" s="103" t="s">
        <v>95</v>
      </c>
      <c r="M2" s="103" t="s">
        <v>128</v>
      </c>
      <c r="N2" s="103" t="s">
        <v>137</v>
      </c>
      <c r="O2" s="103" t="s">
        <v>138</v>
      </c>
    </row>
    <row r="3" spans="1:15" ht="42" customHeight="1" x14ac:dyDescent="0.25">
      <c r="A3" s="103" t="s">
        <v>89</v>
      </c>
      <c r="B3" s="103" t="s">
        <v>89</v>
      </c>
      <c r="C3" s="103" t="s">
        <v>251</v>
      </c>
      <c r="D3" s="103" t="s">
        <v>254</v>
      </c>
      <c r="E3" s="107">
        <v>2222</v>
      </c>
      <c r="F3" s="104">
        <v>2499.75</v>
      </c>
      <c r="G3" s="104">
        <f t="shared" si="0"/>
        <v>731.40833333333285</v>
      </c>
      <c r="H3" s="104">
        <v>3231.1583333333328</v>
      </c>
      <c r="I3" s="104">
        <v>2499.75</v>
      </c>
      <c r="J3" s="108">
        <v>44866</v>
      </c>
      <c r="K3" s="108">
        <v>46112</v>
      </c>
      <c r="L3" s="103" t="s">
        <v>95</v>
      </c>
      <c r="M3" s="103" t="s">
        <v>90</v>
      </c>
      <c r="N3" s="103" t="s">
        <v>92</v>
      </c>
      <c r="O3" s="103" t="s">
        <v>93</v>
      </c>
    </row>
    <row r="4" spans="1:15" ht="42" customHeight="1" x14ac:dyDescent="0.25">
      <c r="A4" s="103" t="s">
        <v>139</v>
      </c>
      <c r="B4" s="103" t="s">
        <v>139</v>
      </c>
      <c r="C4" s="103" t="s">
        <v>266</v>
      </c>
      <c r="D4" s="103" t="s">
        <v>234</v>
      </c>
      <c r="E4" s="107">
        <v>1743</v>
      </c>
      <c r="F4" s="104">
        <v>1960.88</v>
      </c>
      <c r="G4" s="104">
        <f t="shared" si="0"/>
        <v>581.00500000000011</v>
      </c>
      <c r="H4" s="104">
        <v>2541.8850000000002</v>
      </c>
      <c r="I4" s="104"/>
      <c r="J4" s="108">
        <v>44652</v>
      </c>
      <c r="K4" s="108">
        <v>46477</v>
      </c>
      <c r="L4" s="103" t="s">
        <v>95</v>
      </c>
      <c r="M4" s="103" t="s">
        <v>128</v>
      </c>
      <c r="N4" s="103" t="s">
        <v>141</v>
      </c>
      <c r="O4" s="103" t="s">
        <v>142</v>
      </c>
    </row>
    <row r="5" spans="1:15" ht="42" customHeight="1" x14ac:dyDescent="0.25">
      <c r="A5" s="103" t="s">
        <v>99</v>
      </c>
      <c r="B5" s="103" t="s">
        <v>99</v>
      </c>
      <c r="C5" s="103" t="s">
        <v>278</v>
      </c>
      <c r="D5" s="103" t="s">
        <v>254</v>
      </c>
      <c r="E5" s="107">
        <v>2546</v>
      </c>
      <c r="F5" s="104">
        <v>2970.33</v>
      </c>
      <c r="G5" s="104">
        <f t="shared" si="0"/>
        <v>838.05833333333294</v>
      </c>
      <c r="H5" s="104">
        <v>3808.3883333333329</v>
      </c>
      <c r="I5" s="104">
        <v>2758.17</v>
      </c>
      <c r="J5" s="108">
        <v>44044</v>
      </c>
      <c r="K5" s="108">
        <v>45930</v>
      </c>
      <c r="L5" s="103" t="s">
        <v>95</v>
      </c>
      <c r="M5" s="103" t="s">
        <v>90</v>
      </c>
      <c r="N5" s="103" t="s">
        <v>101</v>
      </c>
      <c r="O5" s="103" t="s">
        <v>93</v>
      </c>
    </row>
    <row r="6" spans="1:15" ht="42" customHeight="1" x14ac:dyDescent="0.25">
      <c r="A6" s="103" t="s">
        <v>143</v>
      </c>
      <c r="B6" s="103" t="s">
        <v>143</v>
      </c>
      <c r="C6" s="103" t="s">
        <v>288</v>
      </c>
      <c r="D6" s="103" t="s">
        <v>234</v>
      </c>
      <c r="E6" s="107">
        <v>1690</v>
      </c>
      <c r="F6" s="104">
        <v>1901.25</v>
      </c>
      <c r="G6" s="104">
        <f t="shared" si="0"/>
        <v>704.16666666666697</v>
      </c>
      <c r="H6" s="104">
        <v>2605.416666666667</v>
      </c>
      <c r="I6" s="104">
        <v>1901.25</v>
      </c>
      <c r="J6" s="108">
        <v>45292</v>
      </c>
      <c r="K6" s="108">
        <v>46418</v>
      </c>
      <c r="L6" s="103" t="s">
        <v>95</v>
      </c>
      <c r="M6" s="103" t="s">
        <v>128</v>
      </c>
      <c r="N6" s="103" t="s">
        <v>145</v>
      </c>
      <c r="O6" s="103" t="s">
        <v>301</v>
      </c>
    </row>
    <row r="7" spans="1:15" ht="42" customHeight="1" x14ac:dyDescent="0.25">
      <c r="A7" s="103" t="s">
        <v>298</v>
      </c>
      <c r="B7" s="103" t="s">
        <v>298</v>
      </c>
      <c r="C7" s="103" t="s">
        <v>299</v>
      </c>
      <c r="D7" s="103" t="s">
        <v>234</v>
      </c>
      <c r="E7" s="107">
        <v>2606</v>
      </c>
      <c r="F7" s="104">
        <v>2931.75</v>
      </c>
      <c r="G7" s="104">
        <f t="shared" si="0"/>
        <v>1085.833333333333</v>
      </c>
      <c r="H7" s="104">
        <v>4017.583333333333</v>
      </c>
      <c r="I7" s="104">
        <v>3680.96</v>
      </c>
      <c r="J7" s="108">
        <v>44197</v>
      </c>
      <c r="K7" s="108">
        <v>46568</v>
      </c>
      <c r="L7" s="103" t="s">
        <v>253</v>
      </c>
      <c r="M7" s="103" t="s">
        <v>96</v>
      </c>
      <c r="N7" s="103" t="s">
        <v>96</v>
      </c>
      <c r="O7" s="103" t="s">
        <v>301</v>
      </c>
    </row>
    <row r="8" spans="1:15" ht="42" customHeight="1" x14ac:dyDescent="0.25">
      <c r="A8" s="103" t="s">
        <v>148</v>
      </c>
      <c r="B8" s="103" t="s">
        <v>456</v>
      </c>
      <c r="C8" s="103" t="s">
        <v>309</v>
      </c>
      <c r="D8" s="103" t="s">
        <v>234</v>
      </c>
      <c r="E8" s="107">
        <v>4340</v>
      </c>
      <c r="F8" s="104">
        <v>4882.5</v>
      </c>
      <c r="G8" s="104">
        <f t="shared" si="0"/>
        <v>1772.1666666666661</v>
      </c>
      <c r="H8" s="104">
        <v>6654.6666666666661</v>
      </c>
      <c r="I8" s="104">
        <v>4941.37</v>
      </c>
      <c r="J8" s="108">
        <v>45139</v>
      </c>
      <c r="K8" s="108">
        <v>46295</v>
      </c>
      <c r="L8" s="103" t="s">
        <v>95</v>
      </c>
      <c r="M8" s="103" t="s">
        <v>128</v>
      </c>
      <c r="N8" s="103" t="s">
        <v>150</v>
      </c>
      <c r="O8" s="103" t="s">
        <v>151</v>
      </c>
    </row>
    <row r="9" spans="1:15" ht="42" customHeight="1" x14ac:dyDescent="0.25">
      <c r="A9" s="103" t="s">
        <v>103</v>
      </c>
      <c r="B9" s="103" t="s">
        <v>103</v>
      </c>
      <c r="C9" s="103" t="s">
        <v>320</v>
      </c>
      <c r="D9" s="103" t="s">
        <v>254</v>
      </c>
      <c r="E9" s="107">
        <v>1769</v>
      </c>
      <c r="F9" s="104">
        <v>2063.83</v>
      </c>
      <c r="G9" s="104">
        <f t="shared" si="0"/>
        <v>655.99916666666695</v>
      </c>
      <c r="H9" s="104">
        <v>2719.8291666666669</v>
      </c>
      <c r="I9" s="104">
        <v>1842.71</v>
      </c>
      <c r="J9" s="108">
        <v>42795</v>
      </c>
      <c r="K9" s="108">
        <v>46081</v>
      </c>
      <c r="L9" s="103" t="s">
        <v>95</v>
      </c>
      <c r="M9" s="103" t="s">
        <v>90</v>
      </c>
      <c r="N9" s="103" t="s">
        <v>96</v>
      </c>
      <c r="O9" s="103" t="s">
        <v>93</v>
      </c>
    </row>
    <row r="10" spans="1:15" ht="42" customHeight="1" x14ac:dyDescent="0.25">
      <c r="A10" s="103" t="s">
        <v>106</v>
      </c>
      <c r="B10" s="103" t="s">
        <v>106</v>
      </c>
      <c r="C10" s="103" t="s">
        <v>327</v>
      </c>
      <c r="D10" s="103" t="s">
        <v>254</v>
      </c>
      <c r="E10" s="107">
        <v>1982</v>
      </c>
      <c r="F10" s="104">
        <v>2229.75</v>
      </c>
      <c r="G10" s="104">
        <f t="shared" si="0"/>
        <v>660.66666666666697</v>
      </c>
      <c r="H10" s="104">
        <v>2890.416666666667</v>
      </c>
      <c r="I10" s="104">
        <v>2985.4</v>
      </c>
      <c r="J10" s="108">
        <v>44621</v>
      </c>
      <c r="K10" s="108">
        <v>46081</v>
      </c>
      <c r="L10" s="103" t="s">
        <v>95</v>
      </c>
      <c r="M10" s="103" t="s">
        <v>90</v>
      </c>
      <c r="N10" s="103" t="s">
        <v>108</v>
      </c>
      <c r="O10" s="103" t="s">
        <v>93</v>
      </c>
    </row>
    <row r="11" spans="1:15" ht="42" customHeight="1" x14ac:dyDescent="0.25">
      <c r="A11" s="103" t="s">
        <v>109</v>
      </c>
      <c r="B11" s="103" t="s">
        <v>109</v>
      </c>
      <c r="C11" s="103" t="s">
        <v>337</v>
      </c>
      <c r="D11" s="103" t="s">
        <v>254</v>
      </c>
      <c r="E11" s="107">
        <v>1974</v>
      </c>
      <c r="F11" s="104">
        <v>2303</v>
      </c>
      <c r="G11" s="104">
        <f t="shared" si="0"/>
        <v>732.02500000000009</v>
      </c>
      <c r="H11" s="104">
        <v>3035.0250000000001</v>
      </c>
      <c r="I11" s="104">
        <v>2706.03</v>
      </c>
      <c r="J11" s="108">
        <v>43745</v>
      </c>
      <c r="K11" s="108">
        <v>46081</v>
      </c>
      <c r="L11" s="103" t="s">
        <v>95</v>
      </c>
      <c r="M11" s="103" t="s">
        <v>90</v>
      </c>
      <c r="N11" s="103" t="s">
        <v>96</v>
      </c>
      <c r="O11" s="103" t="s">
        <v>93</v>
      </c>
    </row>
    <row r="12" spans="1:15" ht="42" customHeight="1" x14ac:dyDescent="0.25">
      <c r="A12" s="103" t="s">
        <v>111</v>
      </c>
      <c r="B12" s="103" t="s">
        <v>111</v>
      </c>
      <c r="C12" s="103" t="s">
        <v>349</v>
      </c>
      <c r="D12" s="103" t="s">
        <v>351</v>
      </c>
      <c r="E12" s="107">
        <v>1709</v>
      </c>
      <c r="F12" s="104">
        <v>1815.81</v>
      </c>
      <c r="G12" s="104">
        <f t="shared" si="0"/>
        <v>712.29</v>
      </c>
      <c r="H12" s="104">
        <v>2528.1</v>
      </c>
      <c r="I12" s="104">
        <v>1958.23</v>
      </c>
      <c r="J12" s="108">
        <v>45869</v>
      </c>
      <c r="K12" s="108">
        <v>48213</v>
      </c>
      <c r="L12" s="103" t="s">
        <v>95</v>
      </c>
      <c r="M12" s="103" t="s">
        <v>112</v>
      </c>
      <c r="N12" s="103" t="s">
        <v>114</v>
      </c>
      <c r="O12" s="103" t="s">
        <v>115</v>
      </c>
    </row>
    <row r="13" spans="1:15" ht="42" customHeight="1" x14ac:dyDescent="0.25">
      <c r="A13" s="103" t="s">
        <v>358</v>
      </c>
      <c r="B13" s="103" t="s">
        <v>358</v>
      </c>
      <c r="C13" s="103" t="s">
        <v>359</v>
      </c>
      <c r="D13" s="103" t="s">
        <v>234</v>
      </c>
      <c r="E13" s="107">
        <v>3563</v>
      </c>
      <c r="F13" s="104">
        <v>4008.38</v>
      </c>
      <c r="G13" s="104">
        <f t="shared" si="0"/>
        <v>1484.5783333333329</v>
      </c>
      <c r="H13" s="104">
        <v>5492.958333333333</v>
      </c>
      <c r="I13" s="104">
        <v>4008.38</v>
      </c>
      <c r="J13" s="108">
        <v>45413</v>
      </c>
      <c r="K13" s="108">
        <v>47483</v>
      </c>
      <c r="L13" s="103" t="s">
        <v>253</v>
      </c>
      <c r="M13" s="103" t="s">
        <v>96</v>
      </c>
      <c r="N13" s="103" t="s">
        <v>96</v>
      </c>
      <c r="O13" s="103" t="s">
        <v>301</v>
      </c>
    </row>
    <row r="14" spans="1:15" ht="42" customHeight="1" x14ac:dyDescent="0.25">
      <c r="A14" s="103" t="s">
        <v>153</v>
      </c>
      <c r="B14" s="103" t="s">
        <v>457</v>
      </c>
      <c r="C14" s="103" t="s">
        <v>367</v>
      </c>
      <c r="D14" s="103" t="s">
        <v>234</v>
      </c>
      <c r="E14" s="107">
        <v>4273</v>
      </c>
      <c r="F14" s="104">
        <v>4807.12</v>
      </c>
      <c r="G14" s="104">
        <f t="shared" si="0"/>
        <v>1780.4216666666662</v>
      </c>
      <c r="H14" s="104">
        <v>6587.5416666666661</v>
      </c>
      <c r="I14" s="104">
        <v>2500</v>
      </c>
      <c r="J14" s="108">
        <v>45413</v>
      </c>
      <c r="K14" s="108">
        <v>46873</v>
      </c>
      <c r="L14" s="103" t="s">
        <v>95</v>
      </c>
      <c r="M14" s="103" t="s">
        <v>128</v>
      </c>
      <c r="N14" s="103" t="s">
        <v>155</v>
      </c>
      <c r="O14" s="103" t="s">
        <v>156</v>
      </c>
    </row>
    <row r="15" spans="1:15" ht="42" customHeight="1" x14ac:dyDescent="0.25">
      <c r="A15" s="103" t="s">
        <v>157</v>
      </c>
      <c r="B15" s="103" t="s">
        <v>157</v>
      </c>
      <c r="C15" s="103" t="s">
        <v>377</v>
      </c>
      <c r="D15" s="103" t="s">
        <v>234</v>
      </c>
      <c r="E15" s="107">
        <v>1789</v>
      </c>
      <c r="F15" s="104">
        <v>2087.17</v>
      </c>
      <c r="G15" s="104">
        <f t="shared" si="0"/>
        <v>745.41166666666686</v>
      </c>
      <c r="H15" s="104">
        <v>2832.5816666666669</v>
      </c>
      <c r="I15" s="104">
        <v>2832.58</v>
      </c>
      <c r="J15" s="108">
        <v>45369</v>
      </c>
      <c r="K15" s="108">
        <v>47361</v>
      </c>
      <c r="L15" s="103" t="s">
        <v>95</v>
      </c>
      <c r="M15" s="103" t="s">
        <v>128</v>
      </c>
      <c r="N15" s="103" t="s">
        <v>159</v>
      </c>
      <c r="O15" s="103" t="s">
        <v>301</v>
      </c>
    </row>
    <row r="16" spans="1:15" ht="42" customHeight="1" x14ac:dyDescent="0.25">
      <c r="A16" s="103" t="s">
        <v>161</v>
      </c>
      <c r="B16" s="103" t="s">
        <v>161</v>
      </c>
      <c r="C16" s="103" t="s">
        <v>385</v>
      </c>
      <c r="D16" s="103" t="s">
        <v>385</v>
      </c>
      <c r="E16" s="107">
        <v>1907</v>
      </c>
      <c r="F16" s="104"/>
      <c r="G16" s="104" t="str">
        <f t="shared" si="0"/>
        <v/>
      </c>
      <c r="H16" s="104"/>
      <c r="I16" s="104"/>
      <c r="J16" s="108"/>
      <c r="K16" s="108"/>
      <c r="L16" s="103" t="s">
        <v>95</v>
      </c>
      <c r="M16" s="103" t="s">
        <v>162</v>
      </c>
      <c r="N16" s="103" t="s">
        <v>96</v>
      </c>
      <c r="O16" s="103" t="s">
        <v>164</v>
      </c>
    </row>
    <row r="17" spans="1:15" ht="42" customHeight="1" x14ac:dyDescent="0.25">
      <c r="A17" s="103" t="s">
        <v>388</v>
      </c>
      <c r="B17" s="103" t="s">
        <v>388</v>
      </c>
      <c r="C17" s="103" t="s">
        <v>385</v>
      </c>
      <c r="D17" s="103" t="s">
        <v>385</v>
      </c>
      <c r="E17" s="107">
        <v>1272</v>
      </c>
      <c r="F17" s="104"/>
      <c r="G17" s="104" t="str">
        <f t="shared" si="0"/>
        <v/>
      </c>
      <c r="H17" s="104"/>
      <c r="I17" s="104"/>
      <c r="J17" s="108"/>
      <c r="K17" s="108"/>
      <c r="L17" s="103" t="s">
        <v>253</v>
      </c>
      <c r="M17" s="103" t="s">
        <v>389</v>
      </c>
      <c r="N17" s="103" t="s">
        <v>96</v>
      </c>
      <c r="O17" s="103" t="s">
        <v>390</v>
      </c>
    </row>
    <row r="18" spans="1:15" ht="42" customHeight="1" x14ac:dyDescent="0.25">
      <c r="A18" s="103" t="s">
        <v>166</v>
      </c>
      <c r="B18" s="103" t="s">
        <v>166</v>
      </c>
      <c r="C18" s="103" t="s">
        <v>392</v>
      </c>
      <c r="D18" s="103" t="s">
        <v>234</v>
      </c>
      <c r="E18" s="107">
        <v>1580</v>
      </c>
      <c r="F18" s="104">
        <v>1382.5</v>
      </c>
      <c r="G18" s="104">
        <f t="shared" si="0"/>
        <v>658.33333333333303</v>
      </c>
      <c r="H18" s="104">
        <v>2040.833333333333</v>
      </c>
      <c r="I18" s="104">
        <v>1580</v>
      </c>
      <c r="J18" s="108">
        <v>45597</v>
      </c>
      <c r="K18" s="108">
        <v>47999</v>
      </c>
      <c r="L18" s="103" t="s">
        <v>95</v>
      </c>
      <c r="M18" s="103" t="s">
        <v>167</v>
      </c>
      <c r="N18" s="103" t="s">
        <v>169</v>
      </c>
      <c r="O18" s="103" t="s">
        <v>301</v>
      </c>
    </row>
    <row r="19" spans="1:15" ht="42" customHeight="1" x14ac:dyDescent="0.25">
      <c r="A19" s="103" t="s">
        <v>402</v>
      </c>
      <c r="B19" s="103" t="s">
        <v>402</v>
      </c>
      <c r="C19" s="103" t="s">
        <v>403</v>
      </c>
      <c r="D19" s="103" t="s">
        <v>405</v>
      </c>
      <c r="E19" s="107">
        <v>1580</v>
      </c>
      <c r="F19" s="104"/>
      <c r="G19" s="104" t="str">
        <f t="shared" si="0"/>
        <v/>
      </c>
      <c r="H19" s="104"/>
      <c r="I19" s="104"/>
      <c r="J19" s="108"/>
      <c r="K19" s="108"/>
      <c r="L19" s="103" t="s">
        <v>253</v>
      </c>
      <c r="M19" s="103" t="s">
        <v>96</v>
      </c>
      <c r="N19" s="103" t="s">
        <v>96</v>
      </c>
      <c r="O19" s="103" t="s">
        <v>458</v>
      </c>
    </row>
    <row r="20" spans="1:15" ht="42" customHeight="1" x14ac:dyDescent="0.25">
      <c r="A20" s="103" t="s">
        <v>171</v>
      </c>
      <c r="B20" s="103" t="s">
        <v>171</v>
      </c>
      <c r="C20" s="103" t="s">
        <v>412</v>
      </c>
      <c r="D20" s="103" t="s">
        <v>234</v>
      </c>
      <c r="E20" s="107">
        <v>2053</v>
      </c>
      <c r="F20" s="104">
        <v>2309.62</v>
      </c>
      <c r="G20" s="104">
        <f t="shared" si="0"/>
        <v>855.42166666666708</v>
      </c>
      <c r="H20" s="104">
        <v>3165.041666666667</v>
      </c>
      <c r="I20" s="104"/>
      <c r="J20" s="108">
        <v>45931</v>
      </c>
      <c r="K20" s="108">
        <v>47787</v>
      </c>
      <c r="L20" s="103" t="s">
        <v>95</v>
      </c>
      <c r="M20" s="103" t="s">
        <v>128</v>
      </c>
      <c r="N20" s="103" t="s">
        <v>173</v>
      </c>
      <c r="O20" s="103" t="s">
        <v>301</v>
      </c>
    </row>
    <row r="21" spans="1:15" ht="42" customHeight="1" x14ac:dyDescent="0.25">
      <c r="A21" s="103" t="s">
        <v>176</v>
      </c>
      <c r="B21" s="103" t="s">
        <v>459</v>
      </c>
      <c r="C21" s="103" t="s">
        <v>420</v>
      </c>
      <c r="D21" s="103" t="s">
        <v>234</v>
      </c>
      <c r="E21" s="107">
        <v>3834</v>
      </c>
      <c r="F21" s="104">
        <v>4313.25</v>
      </c>
      <c r="G21" s="104">
        <f t="shared" si="0"/>
        <v>1597.4999999999991</v>
      </c>
      <c r="H21" s="104">
        <v>5910.7499999999991</v>
      </c>
      <c r="I21" s="104">
        <v>4313.25</v>
      </c>
      <c r="J21" s="108">
        <v>45108</v>
      </c>
      <c r="K21" s="108">
        <v>46507</v>
      </c>
      <c r="L21" s="103" t="s">
        <v>95</v>
      </c>
      <c r="M21" s="103" t="s">
        <v>128</v>
      </c>
      <c r="N21" s="103" t="s">
        <v>178</v>
      </c>
      <c r="O21" s="103" t="s">
        <v>179</v>
      </c>
    </row>
    <row r="22" spans="1:15" ht="42" customHeight="1" x14ac:dyDescent="0.25">
      <c r="A22" s="103" t="s">
        <v>117</v>
      </c>
      <c r="B22" s="103" t="s">
        <v>117</v>
      </c>
      <c r="C22" s="103" t="s">
        <v>429</v>
      </c>
      <c r="D22" s="103" t="s">
        <v>254</v>
      </c>
      <c r="E22" s="107">
        <v>1917</v>
      </c>
      <c r="F22" s="104">
        <v>2556</v>
      </c>
      <c r="G22" s="104">
        <f t="shared" si="0"/>
        <v>631.01749999999993</v>
      </c>
      <c r="H22" s="104">
        <v>3187.0174999999999</v>
      </c>
      <c r="I22" s="104"/>
      <c r="J22" s="108">
        <v>42248</v>
      </c>
      <c r="K22" s="108">
        <v>46053</v>
      </c>
      <c r="L22" s="103" t="s">
        <v>95</v>
      </c>
      <c r="M22" s="103" t="s">
        <v>90</v>
      </c>
      <c r="N22" s="103" t="s">
        <v>119</v>
      </c>
      <c r="O22" s="103" t="s">
        <v>93</v>
      </c>
    </row>
    <row r="23" spans="1:15" ht="42" customHeight="1" x14ac:dyDescent="0.25">
      <c r="A23" s="103" t="s">
        <v>121</v>
      </c>
      <c r="B23" s="103" t="s">
        <v>121</v>
      </c>
      <c r="C23" s="103" t="s">
        <v>436</v>
      </c>
      <c r="D23" s="103" t="s">
        <v>460</v>
      </c>
      <c r="E23" s="107">
        <v>1917</v>
      </c>
      <c r="F23" s="104"/>
      <c r="G23" s="104" t="str">
        <f t="shared" si="0"/>
        <v/>
      </c>
      <c r="H23" s="104">
        <v>295.53750000000002</v>
      </c>
      <c r="I23" s="104">
        <v>1250</v>
      </c>
      <c r="J23" s="108"/>
      <c r="K23" s="108"/>
      <c r="L23" s="103" t="s">
        <v>95</v>
      </c>
      <c r="M23" s="103" t="s">
        <v>122</v>
      </c>
      <c r="N23" s="103" t="s">
        <v>124</v>
      </c>
      <c r="O23" s="103" t="s">
        <v>125</v>
      </c>
    </row>
    <row r="24" spans="1:15" ht="42" customHeight="1" x14ac:dyDescent="0.25">
      <c r="A24" s="103" t="s">
        <v>127</v>
      </c>
      <c r="B24" s="103" t="s">
        <v>127</v>
      </c>
      <c r="C24" s="103" t="s">
        <v>443</v>
      </c>
      <c r="D24" s="103" t="s">
        <v>234</v>
      </c>
      <c r="E24" s="107">
        <v>4613</v>
      </c>
      <c r="F24" s="104">
        <v>6246.77</v>
      </c>
      <c r="G24" s="104">
        <f t="shared" si="0"/>
        <v>1518.4508333333333</v>
      </c>
      <c r="H24" s="104">
        <v>7765.2208333333338</v>
      </c>
      <c r="I24" s="104">
        <v>0</v>
      </c>
      <c r="J24" s="108">
        <v>36707</v>
      </c>
      <c r="K24" s="108">
        <v>47787</v>
      </c>
      <c r="L24" s="103" t="s">
        <v>95</v>
      </c>
      <c r="M24" s="103" t="s">
        <v>128</v>
      </c>
      <c r="N24" s="103" t="s">
        <v>130</v>
      </c>
      <c r="O24" s="103" t="s">
        <v>131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8"/>
  <sheetViews>
    <sheetView showGridLines="0" workbookViewId="0"/>
  </sheetViews>
  <sheetFormatPr defaultRowHeight="15" x14ac:dyDescent="0.25"/>
  <cols>
    <col min="1" max="2" width="12" customWidth="1"/>
    <col min="3" max="3" width="17" customWidth="1"/>
    <col min="4" max="5" width="12" customWidth="1"/>
  </cols>
  <sheetData>
    <row r="1" spans="1:5" ht="35.1" customHeight="1" x14ac:dyDescent="0.25">
      <c r="A1" s="102" t="s">
        <v>181</v>
      </c>
      <c r="B1" s="102" t="s">
        <v>77</v>
      </c>
      <c r="C1" s="102" t="s">
        <v>461</v>
      </c>
      <c r="D1" s="102" t="s">
        <v>462</v>
      </c>
      <c r="E1" s="102" t="s">
        <v>463</v>
      </c>
    </row>
    <row r="2" spans="1:5" ht="42" customHeight="1" x14ac:dyDescent="0.25">
      <c r="A2" s="103">
        <v>1</v>
      </c>
      <c r="B2" s="103" t="s">
        <v>134</v>
      </c>
      <c r="C2" s="103" t="s">
        <v>232</v>
      </c>
      <c r="D2" s="107">
        <v>6877</v>
      </c>
      <c r="E2" s="103" t="s">
        <v>464</v>
      </c>
    </row>
    <row r="3" spans="1:5" ht="42" customHeight="1" x14ac:dyDescent="0.25">
      <c r="A3" s="103">
        <v>2</v>
      </c>
      <c r="B3" s="103" t="s">
        <v>250</v>
      </c>
      <c r="C3" s="103" t="s">
        <v>232</v>
      </c>
      <c r="D3" s="107">
        <v>3054</v>
      </c>
      <c r="E3" s="103" t="s">
        <v>465</v>
      </c>
    </row>
    <row r="4" spans="1:5" ht="42" customHeight="1" x14ac:dyDescent="0.25">
      <c r="A4" s="103">
        <v>3</v>
      </c>
      <c r="B4" s="103" t="s">
        <v>89</v>
      </c>
      <c r="C4" s="103" t="s">
        <v>251</v>
      </c>
      <c r="D4" s="107">
        <v>2222</v>
      </c>
      <c r="E4" s="103" t="s">
        <v>464</v>
      </c>
    </row>
    <row r="5" spans="1:5" ht="42" customHeight="1" x14ac:dyDescent="0.25">
      <c r="A5" s="103">
        <v>4</v>
      </c>
      <c r="B5" s="103" t="s">
        <v>139</v>
      </c>
      <c r="C5" s="103" t="s">
        <v>266</v>
      </c>
      <c r="D5" s="107">
        <v>1743</v>
      </c>
      <c r="E5" s="103" t="s">
        <v>464</v>
      </c>
    </row>
    <row r="6" spans="1:5" ht="42" customHeight="1" x14ac:dyDescent="0.25">
      <c r="A6" s="103">
        <v>5</v>
      </c>
      <c r="B6" s="103" t="s">
        <v>99</v>
      </c>
      <c r="C6" s="103" t="s">
        <v>278</v>
      </c>
      <c r="D6" s="107">
        <v>2546</v>
      </c>
      <c r="E6" s="103" t="s">
        <v>464</v>
      </c>
    </row>
    <row r="7" spans="1:5" ht="42" customHeight="1" x14ac:dyDescent="0.25">
      <c r="A7" s="103">
        <v>6</v>
      </c>
      <c r="B7" s="103" t="s">
        <v>143</v>
      </c>
      <c r="C7" s="103" t="s">
        <v>288</v>
      </c>
      <c r="D7" s="107">
        <v>1690</v>
      </c>
      <c r="E7" s="103" t="s">
        <v>464</v>
      </c>
    </row>
    <row r="8" spans="1:5" ht="42" customHeight="1" x14ac:dyDescent="0.25">
      <c r="A8" s="103">
        <v>7</v>
      </c>
      <c r="B8" s="103" t="s">
        <v>298</v>
      </c>
      <c r="C8" s="103" t="s">
        <v>299</v>
      </c>
      <c r="D8" s="107">
        <v>2606</v>
      </c>
      <c r="E8" s="103" t="s">
        <v>464</v>
      </c>
    </row>
    <row r="9" spans="1:5" ht="42" customHeight="1" x14ac:dyDescent="0.25">
      <c r="A9" s="103">
        <v>8</v>
      </c>
      <c r="B9" s="103" t="s">
        <v>147</v>
      </c>
      <c r="C9" s="103" t="s">
        <v>309</v>
      </c>
      <c r="D9" s="107">
        <v>2170</v>
      </c>
      <c r="E9" s="103" t="s">
        <v>464</v>
      </c>
    </row>
    <row r="10" spans="1:5" ht="42" customHeight="1" x14ac:dyDescent="0.25">
      <c r="A10" s="103">
        <v>9</v>
      </c>
      <c r="B10" s="103" t="s">
        <v>319</v>
      </c>
      <c r="C10" s="103" t="s">
        <v>309</v>
      </c>
      <c r="D10" s="107">
        <v>2170</v>
      </c>
      <c r="E10" s="103" t="s">
        <v>464</v>
      </c>
    </row>
    <row r="11" spans="1:5" ht="42" customHeight="1" x14ac:dyDescent="0.25">
      <c r="A11" s="103">
        <v>10</v>
      </c>
      <c r="B11" s="103" t="s">
        <v>103</v>
      </c>
      <c r="C11" s="103" t="s">
        <v>320</v>
      </c>
      <c r="D11" s="107">
        <v>1769</v>
      </c>
      <c r="E11" s="103" t="s">
        <v>464</v>
      </c>
    </row>
    <row r="12" spans="1:5" ht="42" customHeight="1" x14ac:dyDescent="0.25">
      <c r="A12" s="103">
        <v>11</v>
      </c>
      <c r="B12" s="103" t="s">
        <v>106</v>
      </c>
      <c r="C12" s="103" t="s">
        <v>327</v>
      </c>
      <c r="D12" s="107">
        <v>1982</v>
      </c>
      <c r="E12" s="103" t="s">
        <v>464</v>
      </c>
    </row>
    <row r="13" spans="1:5" ht="42" customHeight="1" x14ac:dyDescent="0.25">
      <c r="A13" s="103">
        <v>12</v>
      </c>
      <c r="B13" s="103" t="s">
        <v>109</v>
      </c>
      <c r="C13" s="103" t="s">
        <v>337</v>
      </c>
      <c r="D13" s="107">
        <v>1974</v>
      </c>
      <c r="E13" s="103" t="s">
        <v>464</v>
      </c>
    </row>
    <row r="14" spans="1:5" ht="42" customHeight="1" x14ac:dyDescent="0.25">
      <c r="A14" s="103">
        <v>13</v>
      </c>
      <c r="B14" s="103" t="s">
        <v>111</v>
      </c>
      <c r="C14" s="103" t="s">
        <v>349</v>
      </c>
      <c r="D14" s="107">
        <v>1709</v>
      </c>
      <c r="E14" s="103" t="s">
        <v>464</v>
      </c>
    </row>
    <row r="15" spans="1:5" ht="42" customHeight="1" x14ac:dyDescent="0.25">
      <c r="A15" s="103">
        <v>14</v>
      </c>
      <c r="B15" s="103" t="s">
        <v>358</v>
      </c>
      <c r="C15" s="103" t="s">
        <v>359</v>
      </c>
      <c r="D15" s="107">
        <v>3563</v>
      </c>
      <c r="E15" s="103" t="s">
        <v>464</v>
      </c>
    </row>
    <row r="16" spans="1:5" ht="42" customHeight="1" x14ac:dyDescent="0.25">
      <c r="A16" s="103">
        <v>15</v>
      </c>
      <c r="B16" s="103" t="s">
        <v>152</v>
      </c>
      <c r="C16" s="103" t="s">
        <v>367</v>
      </c>
      <c r="D16" s="107">
        <v>1735</v>
      </c>
      <c r="E16" s="103" t="s">
        <v>464</v>
      </c>
    </row>
    <row r="17" spans="1:5" ht="42" customHeight="1" x14ac:dyDescent="0.25">
      <c r="A17" s="103">
        <v>16</v>
      </c>
      <c r="B17" s="103" t="s">
        <v>376</v>
      </c>
      <c r="C17" s="103" t="s">
        <v>367</v>
      </c>
      <c r="D17" s="107">
        <v>2538</v>
      </c>
      <c r="E17" s="103" t="s">
        <v>464</v>
      </c>
    </row>
    <row r="18" spans="1:5" ht="42" customHeight="1" x14ac:dyDescent="0.25">
      <c r="A18" s="103">
        <v>17</v>
      </c>
      <c r="B18" s="103" t="s">
        <v>157</v>
      </c>
      <c r="C18" s="103" t="s">
        <v>377</v>
      </c>
      <c r="D18" s="107">
        <v>1789</v>
      </c>
      <c r="E18" s="103" t="s">
        <v>464</v>
      </c>
    </row>
    <row r="19" spans="1:5" ht="42" customHeight="1" x14ac:dyDescent="0.25">
      <c r="A19" s="103">
        <v>18</v>
      </c>
      <c r="B19" s="103" t="s">
        <v>161</v>
      </c>
      <c r="C19" s="103" t="s">
        <v>385</v>
      </c>
      <c r="D19" s="107">
        <v>1907</v>
      </c>
      <c r="E19" s="103" t="s">
        <v>464</v>
      </c>
    </row>
    <row r="20" spans="1:5" ht="42" customHeight="1" x14ac:dyDescent="0.25">
      <c r="A20" s="103">
        <v>19</v>
      </c>
      <c r="B20" s="103" t="s">
        <v>388</v>
      </c>
      <c r="C20" s="103" t="s">
        <v>385</v>
      </c>
      <c r="D20" s="107">
        <v>1272</v>
      </c>
      <c r="E20" s="103" t="s">
        <v>464</v>
      </c>
    </row>
    <row r="21" spans="1:5" ht="42" customHeight="1" x14ac:dyDescent="0.25">
      <c r="A21" s="103">
        <v>20</v>
      </c>
      <c r="B21" s="103" t="s">
        <v>166</v>
      </c>
      <c r="C21" s="103" t="s">
        <v>392</v>
      </c>
      <c r="D21" s="107">
        <v>1580</v>
      </c>
      <c r="E21" s="103" t="s">
        <v>464</v>
      </c>
    </row>
    <row r="22" spans="1:5" ht="42" customHeight="1" x14ac:dyDescent="0.25">
      <c r="A22" s="103">
        <v>21</v>
      </c>
      <c r="B22" s="103" t="s">
        <v>402</v>
      </c>
      <c r="C22" s="103" t="s">
        <v>403</v>
      </c>
      <c r="D22" s="107">
        <v>1580</v>
      </c>
      <c r="E22" s="103" t="s">
        <v>464</v>
      </c>
    </row>
    <row r="23" spans="1:5" ht="42" customHeight="1" x14ac:dyDescent="0.25">
      <c r="A23" s="103">
        <v>22</v>
      </c>
      <c r="B23" s="103" t="s">
        <v>171</v>
      </c>
      <c r="C23" s="103" t="s">
        <v>412</v>
      </c>
      <c r="D23" s="107">
        <v>2053</v>
      </c>
      <c r="E23" s="103" t="s">
        <v>464</v>
      </c>
    </row>
    <row r="24" spans="1:5" ht="42" customHeight="1" x14ac:dyDescent="0.25">
      <c r="A24" s="103">
        <v>23</v>
      </c>
      <c r="B24" s="103" t="s">
        <v>175</v>
      </c>
      <c r="C24" s="103" t="s">
        <v>420</v>
      </c>
      <c r="D24" s="107">
        <v>1917</v>
      </c>
      <c r="E24" s="103" t="s">
        <v>464</v>
      </c>
    </row>
    <row r="25" spans="1:5" ht="42" customHeight="1" x14ac:dyDescent="0.25">
      <c r="A25" s="103">
        <v>24</v>
      </c>
      <c r="B25" s="103" t="s">
        <v>428</v>
      </c>
      <c r="C25" s="103" t="s">
        <v>420</v>
      </c>
      <c r="D25" s="107">
        <v>1917</v>
      </c>
      <c r="E25" s="103" t="s">
        <v>464</v>
      </c>
    </row>
    <row r="26" spans="1:5" ht="42" customHeight="1" x14ac:dyDescent="0.25">
      <c r="A26" s="103">
        <v>25</v>
      </c>
      <c r="B26" s="103" t="s">
        <v>117</v>
      </c>
      <c r="C26" s="103" t="s">
        <v>429</v>
      </c>
      <c r="D26" s="107">
        <v>1917</v>
      </c>
      <c r="E26" s="103" t="s">
        <v>464</v>
      </c>
    </row>
    <row r="27" spans="1:5" ht="42" customHeight="1" x14ac:dyDescent="0.25">
      <c r="A27" s="103">
        <v>26</v>
      </c>
      <c r="B27" s="103" t="s">
        <v>121</v>
      </c>
      <c r="C27" s="103" t="s">
        <v>436</v>
      </c>
      <c r="D27" s="107">
        <v>1917</v>
      </c>
      <c r="E27" s="103" t="s">
        <v>464</v>
      </c>
    </row>
    <row r="28" spans="1:5" ht="42" customHeight="1" x14ac:dyDescent="0.25">
      <c r="A28" s="103">
        <v>27</v>
      </c>
      <c r="B28" s="103" t="s">
        <v>127</v>
      </c>
      <c r="C28" s="103" t="s">
        <v>443</v>
      </c>
      <c r="D28" s="107">
        <v>4613</v>
      </c>
      <c r="E28" s="103" t="s">
        <v>464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
  <sheetViews>
    <sheetView showGridLines="0" workbookViewId="0"/>
  </sheetViews>
  <sheetFormatPr defaultRowHeight="15" x14ac:dyDescent="0.25"/>
  <cols>
    <col min="1" max="1" width="16" customWidth="1"/>
    <col min="2" max="4" width="12" customWidth="1"/>
    <col min="5" max="5" width="23" customWidth="1"/>
  </cols>
  <sheetData>
    <row r="1" spans="1:5" ht="35.1" customHeight="1" x14ac:dyDescent="0.25">
      <c r="A1" s="102" t="s">
        <v>466</v>
      </c>
      <c r="B1" s="102" t="s">
        <v>467</v>
      </c>
      <c r="C1" s="102" t="s">
        <v>468</v>
      </c>
      <c r="D1" s="102" t="s">
        <v>463</v>
      </c>
      <c r="E1" s="102" t="s">
        <v>469</v>
      </c>
    </row>
    <row r="2" spans="1:5" ht="42" customHeight="1" x14ac:dyDescent="0.25">
      <c r="A2" s="103" t="s">
        <v>470</v>
      </c>
      <c r="B2" s="103" t="s">
        <v>471</v>
      </c>
      <c r="C2" s="103" t="s">
        <v>472</v>
      </c>
      <c r="D2" s="103" t="s">
        <v>473</v>
      </c>
      <c r="E2" s="103" t="s">
        <v>96</v>
      </c>
    </row>
    <row r="3" spans="1:5" ht="42" customHeight="1" x14ac:dyDescent="0.25">
      <c r="A3" s="103" t="s">
        <v>470</v>
      </c>
      <c r="B3" s="103" t="s">
        <v>474</v>
      </c>
      <c r="C3" s="103" t="s">
        <v>472</v>
      </c>
      <c r="D3" s="103" t="s">
        <v>473</v>
      </c>
      <c r="E3" s="103" t="s">
        <v>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5"/>
  <sheetViews>
    <sheetView workbookViewId="0"/>
  </sheetViews>
  <sheetFormatPr defaultRowHeight="15" x14ac:dyDescent="0.25"/>
  <cols>
    <col min="1" max="1" width="26" customWidth="1"/>
    <col min="2" max="2" width="28" customWidth="1"/>
    <col min="3" max="3" width="12" customWidth="1"/>
    <col min="4" max="4" width="28" customWidth="1"/>
    <col min="5" max="5" width="30" customWidth="1"/>
    <col min="6" max="6" width="24" customWidth="1"/>
    <col min="7" max="7" width="18" customWidth="1"/>
    <col min="8" max="8" width="16" customWidth="1"/>
    <col min="9" max="10" width="14" customWidth="1"/>
    <col min="11" max="11" width="16" customWidth="1"/>
    <col min="12" max="12" width="18" customWidth="1"/>
    <col min="13" max="13" width="16" customWidth="1"/>
    <col min="14" max="15" width="13" customWidth="1"/>
    <col min="16" max="16" width="16" customWidth="1"/>
    <col min="17" max="17" width="13" customWidth="1"/>
    <col min="18" max="18" width="17" customWidth="1"/>
    <col min="19" max="20" width="16" customWidth="1"/>
    <col min="21" max="21" width="10" customWidth="1"/>
    <col min="22" max="23" width="12" customWidth="1"/>
    <col min="24" max="25" width="24" customWidth="1"/>
    <col min="26" max="26" width="28" customWidth="1"/>
    <col min="27" max="27" width="18" customWidth="1"/>
    <col min="28" max="28" width="28" customWidth="1"/>
    <col min="29" max="30" width="40" customWidth="1"/>
    <col min="31" max="31" width="28" customWidth="1"/>
    <col min="32" max="33" width="18" customWidth="1"/>
    <col min="34" max="34" width="20" customWidth="1"/>
    <col min="35" max="35" width="30" customWidth="1"/>
    <col min="36" max="36" width="40" customWidth="1"/>
    <col min="37" max="39" width="18" customWidth="1"/>
    <col min="40" max="40" width="60" customWidth="1"/>
    <col min="41" max="41" width="15" customWidth="1"/>
    <col min="42" max="42" width="35" customWidth="1"/>
    <col min="43" max="43" width="32" customWidth="1"/>
    <col min="44" max="44" width="14" customWidth="1"/>
  </cols>
  <sheetData>
    <row r="1" spans="1:44" ht="66.75" customHeight="1" x14ac:dyDescent="0.25">
      <c r="A1" s="75" t="s">
        <v>475</v>
      </c>
      <c r="B1" s="75" t="s">
        <v>476</v>
      </c>
      <c r="C1" s="75" t="s">
        <v>477</v>
      </c>
      <c r="D1" s="75" t="s">
        <v>478</v>
      </c>
      <c r="E1" s="75" t="s">
        <v>184</v>
      </c>
      <c r="F1" s="75" t="s">
        <v>185</v>
      </c>
      <c r="G1" s="75" t="s">
        <v>479</v>
      </c>
      <c r="H1" s="75" t="s">
        <v>480</v>
      </c>
      <c r="I1" s="75" t="s">
        <v>481</v>
      </c>
      <c r="J1" s="75" t="s">
        <v>482</v>
      </c>
      <c r="K1" s="75" t="s">
        <v>483</v>
      </c>
      <c r="L1" s="75" t="s">
        <v>484</v>
      </c>
      <c r="M1" s="75" t="s">
        <v>485</v>
      </c>
      <c r="N1" s="75" t="s">
        <v>486</v>
      </c>
      <c r="O1" s="75" t="s">
        <v>487</v>
      </c>
      <c r="P1" s="75" t="s">
        <v>488</v>
      </c>
      <c r="Q1" s="75" t="s">
        <v>489</v>
      </c>
      <c r="R1" s="75" t="s">
        <v>490</v>
      </c>
      <c r="S1" s="75" t="s">
        <v>491</v>
      </c>
      <c r="T1" s="75" t="s">
        <v>492</v>
      </c>
      <c r="U1" s="75" t="s">
        <v>462</v>
      </c>
      <c r="V1" s="75" t="s">
        <v>493</v>
      </c>
      <c r="W1" s="75" t="s">
        <v>494</v>
      </c>
      <c r="X1" s="75" t="s">
        <v>495</v>
      </c>
      <c r="Y1" s="75" t="s">
        <v>225</v>
      </c>
      <c r="Z1" s="75" t="s">
        <v>226</v>
      </c>
      <c r="AA1" s="75" t="s">
        <v>227</v>
      </c>
      <c r="AB1" s="75" t="s">
        <v>228</v>
      </c>
      <c r="AC1" s="75" t="s">
        <v>218</v>
      </c>
      <c r="AD1" s="75" t="s">
        <v>219</v>
      </c>
      <c r="AE1" s="75" t="s">
        <v>220</v>
      </c>
      <c r="AF1" s="75" t="s">
        <v>496</v>
      </c>
      <c r="AG1" s="75" t="s">
        <v>221</v>
      </c>
      <c r="AH1" s="75" t="s">
        <v>222</v>
      </c>
      <c r="AI1" s="75" t="s">
        <v>223</v>
      </c>
      <c r="AJ1" s="75" t="s">
        <v>224</v>
      </c>
      <c r="AK1" s="75" t="s">
        <v>497</v>
      </c>
      <c r="AL1" s="75" t="s">
        <v>498</v>
      </c>
      <c r="AM1" s="75" t="s">
        <v>499</v>
      </c>
      <c r="AN1" s="75" t="s">
        <v>468</v>
      </c>
      <c r="AO1" s="75" t="s">
        <v>190</v>
      </c>
      <c r="AP1" s="75" t="s">
        <v>460</v>
      </c>
      <c r="AQ1" s="75" t="s">
        <v>87</v>
      </c>
      <c r="AR1" s="75" t="s">
        <v>500</v>
      </c>
    </row>
    <row r="2" spans="1:44" ht="66.75" customHeight="1" x14ac:dyDescent="0.25">
      <c r="A2" s="76" t="s">
        <v>501</v>
      </c>
      <c r="B2" s="76" t="s">
        <v>501</v>
      </c>
      <c r="C2" s="76" t="s">
        <v>135</v>
      </c>
      <c r="D2" s="76" t="s">
        <v>502</v>
      </c>
      <c r="E2" s="76" t="s">
        <v>233</v>
      </c>
      <c r="F2" s="76" t="s">
        <v>232</v>
      </c>
      <c r="G2" s="77" t="s">
        <v>234</v>
      </c>
      <c r="H2" s="76" t="s">
        <v>95</v>
      </c>
      <c r="I2" s="78" t="s">
        <v>503</v>
      </c>
      <c r="J2" s="78" t="s">
        <v>504</v>
      </c>
      <c r="K2" s="78" t="s">
        <v>503</v>
      </c>
      <c r="L2" s="76" t="s">
        <v>96</v>
      </c>
      <c r="M2" s="79">
        <v>12699.57</v>
      </c>
      <c r="N2" s="79">
        <v>1737.4</v>
      </c>
      <c r="O2" s="79">
        <v>744.6</v>
      </c>
      <c r="P2" s="79">
        <v>827.33</v>
      </c>
      <c r="Q2" s="79">
        <v>3309.33</v>
      </c>
      <c r="R2" s="79">
        <v>16008.9</v>
      </c>
      <c r="S2" s="79" t="s">
        <v>96</v>
      </c>
      <c r="T2" s="79">
        <v>12699.57</v>
      </c>
      <c r="U2" s="80">
        <v>9928</v>
      </c>
      <c r="V2" s="79">
        <v>15.35</v>
      </c>
      <c r="W2" s="79">
        <v>19.350000000000001</v>
      </c>
      <c r="X2" s="76" t="s">
        <v>96</v>
      </c>
      <c r="Y2" s="76" t="s">
        <v>245</v>
      </c>
      <c r="Z2" s="76" t="s">
        <v>246</v>
      </c>
      <c r="AA2" s="76" t="s">
        <v>247</v>
      </c>
      <c r="AB2" s="76" t="s">
        <v>248</v>
      </c>
      <c r="AC2" s="76" t="s">
        <v>238</v>
      </c>
      <c r="AD2" s="76" t="s">
        <v>239</v>
      </c>
      <c r="AE2" s="76" t="s">
        <v>240</v>
      </c>
      <c r="AF2" s="78" t="s">
        <v>96</v>
      </c>
      <c r="AG2" s="76" t="s">
        <v>241</v>
      </c>
      <c r="AH2" s="76" t="s">
        <v>242</v>
      </c>
      <c r="AI2" s="76" t="s">
        <v>505</v>
      </c>
      <c r="AJ2" s="76" t="s">
        <v>244</v>
      </c>
      <c r="AK2" s="79" t="s">
        <v>96</v>
      </c>
      <c r="AL2" s="76" t="s">
        <v>96</v>
      </c>
      <c r="AM2" s="76" t="s">
        <v>96</v>
      </c>
      <c r="AN2" s="76" t="s">
        <v>506</v>
      </c>
      <c r="AO2" s="76" t="s">
        <v>235</v>
      </c>
      <c r="AP2" s="81" t="s">
        <v>507</v>
      </c>
      <c r="AQ2" s="76" t="s">
        <v>508</v>
      </c>
      <c r="AR2" s="78" t="s">
        <v>509</v>
      </c>
    </row>
    <row r="3" spans="1:44" ht="66.75" customHeight="1" x14ac:dyDescent="0.25">
      <c r="A3" s="76" t="s">
        <v>501</v>
      </c>
      <c r="B3" s="76" t="s">
        <v>501</v>
      </c>
      <c r="C3" s="76" t="s">
        <v>89</v>
      </c>
      <c r="D3" s="76" t="s">
        <v>251</v>
      </c>
      <c r="E3" s="76" t="s">
        <v>252</v>
      </c>
      <c r="F3" s="76" t="s">
        <v>251</v>
      </c>
      <c r="G3" s="82" t="s">
        <v>510</v>
      </c>
      <c r="H3" s="76" t="s">
        <v>95</v>
      </c>
      <c r="I3" s="78" t="s">
        <v>511</v>
      </c>
      <c r="J3" s="78" t="s">
        <v>512</v>
      </c>
      <c r="K3" s="78" t="s">
        <v>511</v>
      </c>
      <c r="L3" s="76" t="s">
        <v>96</v>
      </c>
      <c r="M3" s="79">
        <v>2499.75</v>
      </c>
      <c r="N3" s="79">
        <v>388.85</v>
      </c>
      <c r="O3" s="79">
        <v>157.38999999999999</v>
      </c>
      <c r="P3" s="79">
        <v>185.17</v>
      </c>
      <c r="Q3" s="79">
        <v>731.41</v>
      </c>
      <c r="R3" s="79">
        <v>3231.16</v>
      </c>
      <c r="S3" s="79" t="s">
        <v>96</v>
      </c>
      <c r="T3" s="79">
        <v>2499.75</v>
      </c>
      <c r="U3" s="80">
        <v>2222</v>
      </c>
      <c r="V3" s="79">
        <v>13.5</v>
      </c>
      <c r="W3" s="79">
        <v>17.45</v>
      </c>
      <c r="X3" s="76" t="s">
        <v>96</v>
      </c>
      <c r="Y3" s="76" t="s">
        <v>262</v>
      </c>
      <c r="Z3" s="76" t="s">
        <v>263</v>
      </c>
      <c r="AA3" s="76" t="s">
        <v>264</v>
      </c>
      <c r="AB3" s="76" t="s">
        <v>265</v>
      </c>
      <c r="AC3" s="76" t="s">
        <v>257</v>
      </c>
      <c r="AD3" s="76" t="s">
        <v>258</v>
      </c>
      <c r="AE3" s="76" t="s">
        <v>259</v>
      </c>
      <c r="AF3" s="78"/>
      <c r="AG3" s="76" t="s">
        <v>260</v>
      </c>
      <c r="AH3" s="76" t="s">
        <v>261</v>
      </c>
      <c r="AI3" s="76" t="s">
        <v>505</v>
      </c>
      <c r="AJ3" s="76" t="s">
        <v>244</v>
      </c>
      <c r="AK3" s="79" t="s">
        <v>96</v>
      </c>
      <c r="AL3" s="76" t="s">
        <v>96</v>
      </c>
      <c r="AM3" s="76" t="s">
        <v>96</v>
      </c>
      <c r="AN3" s="76" t="s">
        <v>513</v>
      </c>
      <c r="AO3" s="76" t="s">
        <v>255</v>
      </c>
      <c r="AP3" s="81" t="s">
        <v>514</v>
      </c>
      <c r="AQ3" s="76" t="s">
        <v>508</v>
      </c>
      <c r="AR3" s="78" t="s">
        <v>509</v>
      </c>
    </row>
    <row r="4" spans="1:44" ht="66.75" customHeight="1" x14ac:dyDescent="0.25">
      <c r="A4" s="76" t="s">
        <v>501</v>
      </c>
      <c r="B4" s="76" t="s">
        <v>501</v>
      </c>
      <c r="C4" s="76" t="s">
        <v>139</v>
      </c>
      <c r="D4" s="76" t="s">
        <v>266</v>
      </c>
      <c r="E4" s="76" t="s">
        <v>267</v>
      </c>
      <c r="F4" s="76" t="s">
        <v>268</v>
      </c>
      <c r="G4" s="77" t="s">
        <v>234</v>
      </c>
      <c r="H4" s="76" t="s">
        <v>95</v>
      </c>
      <c r="I4" s="78" t="s">
        <v>503</v>
      </c>
      <c r="J4" s="78" t="s">
        <v>515</v>
      </c>
      <c r="K4" s="78" t="s">
        <v>503</v>
      </c>
      <c r="L4" s="76" t="s">
        <v>96</v>
      </c>
      <c r="M4" s="79">
        <v>1960.88</v>
      </c>
      <c r="N4" s="79">
        <v>305.02999999999997</v>
      </c>
      <c r="O4" s="79">
        <v>130.72</v>
      </c>
      <c r="P4" s="79">
        <v>145.25</v>
      </c>
      <c r="Q4" s="79">
        <v>581</v>
      </c>
      <c r="R4" s="79">
        <v>2541.88</v>
      </c>
      <c r="S4" s="79" t="s">
        <v>96</v>
      </c>
      <c r="T4" s="79" t="s">
        <v>516</v>
      </c>
      <c r="U4" s="80">
        <v>1743</v>
      </c>
      <c r="V4" s="79">
        <v>13.5</v>
      </c>
      <c r="W4" s="79">
        <v>17.5</v>
      </c>
      <c r="X4" s="76" t="s">
        <v>96</v>
      </c>
      <c r="Y4" s="76" t="s">
        <v>274</v>
      </c>
      <c r="Z4" s="76" t="s">
        <v>275</v>
      </c>
      <c r="AA4" s="76" t="s">
        <v>276</v>
      </c>
      <c r="AB4" s="76" t="s">
        <v>277</v>
      </c>
      <c r="AC4" s="76" t="s">
        <v>270</v>
      </c>
      <c r="AD4" s="76" t="s">
        <v>271</v>
      </c>
      <c r="AE4" s="76" t="s">
        <v>272</v>
      </c>
      <c r="AF4" s="78" t="s">
        <v>96</v>
      </c>
      <c r="AG4" s="76" t="s">
        <v>260</v>
      </c>
      <c r="AH4" s="76" t="s">
        <v>273</v>
      </c>
      <c r="AI4" s="76" t="s">
        <v>505</v>
      </c>
      <c r="AJ4" s="76" t="s">
        <v>244</v>
      </c>
      <c r="AK4" s="79" t="s">
        <v>96</v>
      </c>
      <c r="AL4" s="76" t="s">
        <v>96</v>
      </c>
      <c r="AM4" s="76" t="s">
        <v>96</v>
      </c>
      <c r="AN4" s="76" t="s">
        <v>517</v>
      </c>
      <c r="AO4" s="76" t="s">
        <v>235</v>
      </c>
      <c r="AP4" s="81" t="s">
        <v>507</v>
      </c>
      <c r="AQ4" s="76" t="s">
        <v>518</v>
      </c>
      <c r="AR4" s="78" t="s">
        <v>509</v>
      </c>
    </row>
    <row r="5" spans="1:44" ht="66.75" customHeight="1" x14ac:dyDescent="0.25">
      <c r="A5" s="76" t="s">
        <v>501</v>
      </c>
      <c r="B5" s="76" t="s">
        <v>501</v>
      </c>
      <c r="C5" s="76" t="s">
        <v>99</v>
      </c>
      <c r="D5" s="76" t="s">
        <v>278</v>
      </c>
      <c r="E5" s="76" t="s">
        <v>279</v>
      </c>
      <c r="F5" s="76" t="s">
        <v>280</v>
      </c>
      <c r="G5" s="82" t="s">
        <v>510</v>
      </c>
      <c r="H5" s="76" t="s">
        <v>95</v>
      </c>
      <c r="I5" s="78" t="s">
        <v>519</v>
      </c>
      <c r="J5" s="78" t="s">
        <v>520</v>
      </c>
      <c r="K5" s="78" t="s">
        <v>519</v>
      </c>
      <c r="L5" s="76" t="s">
        <v>96</v>
      </c>
      <c r="M5" s="79">
        <v>2970.33</v>
      </c>
      <c r="N5" s="79">
        <v>445.55</v>
      </c>
      <c r="O5" s="79">
        <v>180.34</v>
      </c>
      <c r="P5" s="79">
        <v>212.17</v>
      </c>
      <c r="Q5" s="79">
        <v>838.06</v>
      </c>
      <c r="R5" s="79">
        <v>3808.39</v>
      </c>
      <c r="S5" s="79" t="s">
        <v>96</v>
      </c>
      <c r="T5" s="79">
        <v>2758.17</v>
      </c>
      <c r="U5" s="80">
        <v>2546</v>
      </c>
      <c r="V5" s="79">
        <v>14</v>
      </c>
      <c r="W5" s="79">
        <v>17.95</v>
      </c>
      <c r="X5" s="76" t="s">
        <v>96</v>
      </c>
      <c r="Y5" s="76" t="s">
        <v>284</v>
      </c>
      <c r="Z5" s="76" t="s">
        <v>285</v>
      </c>
      <c r="AA5" s="76" t="s">
        <v>286</v>
      </c>
      <c r="AB5" s="76" t="s">
        <v>287</v>
      </c>
      <c r="AC5" s="76" t="s">
        <v>282</v>
      </c>
      <c r="AD5" s="76" t="s">
        <v>283</v>
      </c>
      <c r="AE5" s="76" t="s">
        <v>259</v>
      </c>
      <c r="AF5" s="78" t="s">
        <v>96</v>
      </c>
      <c r="AG5" s="76" t="s">
        <v>260</v>
      </c>
      <c r="AH5" s="76" t="s">
        <v>261</v>
      </c>
      <c r="AI5" s="76" t="s">
        <v>505</v>
      </c>
      <c r="AJ5" s="76" t="s">
        <v>244</v>
      </c>
      <c r="AK5" s="79" t="s">
        <v>96</v>
      </c>
      <c r="AL5" s="76" t="s">
        <v>96</v>
      </c>
      <c r="AM5" s="76" t="s">
        <v>96</v>
      </c>
      <c r="AN5" s="76" t="s">
        <v>521</v>
      </c>
      <c r="AO5" s="76" t="s">
        <v>255</v>
      </c>
      <c r="AP5" s="81" t="s">
        <v>514</v>
      </c>
      <c r="AQ5" s="76" t="s">
        <v>518</v>
      </c>
      <c r="AR5" s="78" t="s">
        <v>509</v>
      </c>
    </row>
    <row r="6" spans="1:44" ht="66.75" customHeight="1" x14ac:dyDescent="0.25">
      <c r="A6" s="76" t="s">
        <v>501</v>
      </c>
      <c r="B6" s="76" t="s">
        <v>501</v>
      </c>
      <c r="C6" s="76" t="s">
        <v>143</v>
      </c>
      <c r="D6" s="76" t="s">
        <v>288</v>
      </c>
      <c r="E6" s="76" t="s">
        <v>289</v>
      </c>
      <c r="F6" s="76" t="s">
        <v>290</v>
      </c>
      <c r="G6" s="77" t="s">
        <v>234</v>
      </c>
      <c r="H6" s="76" t="s">
        <v>95</v>
      </c>
      <c r="I6" s="78" t="s">
        <v>522</v>
      </c>
      <c r="J6" s="78" t="s">
        <v>523</v>
      </c>
      <c r="K6" s="78" t="s">
        <v>522</v>
      </c>
      <c r="L6" s="76" t="s">
        <v>96</v>
      </c>
      <c r="M6" s="79">
        <v>1901.25</v>
      </c>
      <c r="N6" s="79">
        <v>295.75</v>
      </c>
      <c r="O6" s="79">
        <v>133.79</v>
      </c>
      <c r="P6" s="79">
        <v>274.62</v>
      </c>
      <c r="Q6" s="79">
        <v>704.16</v>
      </c>
      <c r="R6" s="79">
        <v>2605.42</v>
      </c>
      <c r="S6" s="79" t="s">
        <v>96</v>
      </c>
      <c r="T6" s="79">
        <v>1901.25</v>
      </c>
      <c r="U6" s="80">
        <v>1690</v>
      </c>
      <c r="V6" s="79">
        <v>13.5</v>
      </c>
      <c r="W6" s="79">
        <v>18.5</v>
      </c>
      <c r="X6" s="76" t="s">
        <v>96</v>
      </c>
      <c r="Y6" s="76" t="s">
        <v>294</v>
      </c>
      <c r="Z6" s="76" t="s">
        <v>295</v>
      </c>
      <c r="AA6" s="76" t="s">
        <v>296</v>
      </c>
      <c r="AB6" s="76" t="s">
        <v>297</v>
      </c>
      <c r="AC6" s="76" t="s">
        <v>292</v>
      </c>
      <c r="AD6" s="76" t="s">
        <v>293</v>
      </c>
      <c r="AE6" s="76" t="s">
        <v>259</v>
      </c>
      <c r="AF6" s="78" t="s">
        <v>96</v>
      </c>
      <c r="AG6" s="76" t="s">
        <v>260</v>
      </c>
      <c r="AH6" s="76" t="s">
        <v>261</v>
      </c>
      <c r="AI6" s="76" t="s">
        <v>505</v>
      </c>
      <c r="AJ6" s="76" t="s">
        <v>244</v>
      </c>
      <c r="AK6" s="79" t="s">
        <v>96</v>
      </c>
      <c r="AL6" s="76" t="s">
        <v>96</v>
      </c>
      <c r="AM6" s="76" t="s">
        <v>96</v>
      </c>
      <c r="AN6" s="76" t="s">
        <v>524</v>
      </c>
      <c r="AO6" s="76" t="s">
        <v>235</v>
      </c>
      <c r="AP6" s="81" t="s">
        <v>507</v>
      </c>
      <c r="AQ6" s="76" t="s">
        <v>518</v>
      </c>
      <c r="AR6" s="78" t="s">
        <v>509</v>
      </c>
    </row>
    <row r="7" spans="1:44" ht="66.75" customHeight="1" x14ac:dyDescent="0.25">
      <c r="A7" s="76" t="s">
        <v>501</v>
      </c>
      <c r="B7" s="76" t="s">
        <v>501</v>
      </c>
      <c r="C7" s="76" t="s">
        <v>298</v>
      </c>
      <c r="D7" s="76" t="s">
        <v>299</v>
      </c>
      <c r="E7" s="76" t="s">
        <v>300</v>
      </c>
      <c r="F7" s="76" t="s">
        <v>299</v>
      </c>
      <c r="G7" s="77" t="s">
        <v>234</v>
      </c>
      <c r="H7" s="76" t="s">
        <v>95</v>
      </c>
      <c r="I7" s="78" t="s">
        <v>525</v>
      </c>
      <c r="J7" s="78" t="s">
        <v>526</v>
      </c>
      <c r="K7" s="78" t="s">
        <v>525</v>
      </c>
      <c r="L7" s="76" t="s">
        <v>96</v>
      </c>
      <c r="M7" s="79">
        <v>2931.75</v>
      </c>
      <c r="N7" s="79">
        <v>456.05</v>
      </c>
      <c r="O7" s="79">
        <v>206.31</v>
      </c>
      <c r="P7" s="79">
        <v>423.47</v>
      </c>
      <c r="Q7" s="79">
        <v>1085.83</v>
      </c>
      <c r="R7" s="79">
        <v>4017.58</v>
      </c>
      <c r="S7" s="79" t="s">
        <v>96</v>
      </c>
      <c r="T7" s="79">
        <v>3680.96</v>
      </c>
      <c r="U7" s="80">
        <v>2606</v>
      </c>
      <c r="V7" s="79">
        <v>13.5</v>
      </c>
      <c r="W7" s="79">
        <v>18.5</v>
      </c>
      <c r="X7" s="76" t="s">
        <v>96</v>
      </c>
      <c r="Y7" s="76" t="s">
        <v>305</v>
      </c>
      <c r="Z7" s="76" t="s">
        <v>306</v>
      </c>
      <c r="AA7" s="76" t="s">
        <v>307</v>
      </c>
      <c r="AB7" s="76" t="s">
        <v>308</v>
      </c>
      <c r="AC7" s="76" t="s">
        <v>303</v>
      </c>
      <c r="AD7" s="76" t="s">
        <v>96</v>
      </c>
      <c r="AE7" s="76" t="s">
        <v>96</v>
      </c>
      <c r="AF7" s="78" t="s">
        <v>96</v>
      </c>
      <c r="AG7" s="76" t="s">
        <v>304</v>
      </c>
      <c r="AH7" s="76" t="s">
        <v>96</v>
      </c>
      <c r="AI7" s="76" t="s">
        <v>505</v>
      </c>
      <c r="AJ7" s="76" t="s">
        <v>96</v>
      </c>
      <c r="AK7" s="79" t="s">
        <v>96</v>
      </c>
      <c r="AL7" s="76" t="s">
        <v>96</v>
      </c>
      <c r="AM7" s="76" t="s">
        <v>96</v>
      </c>
      <c r="AN7" s="76" t="s">
        <v>527</v>
      </c>
      <c r="AO7" s="76" t="s">
        <v>302</v>
      </c>
      <c r="AP7" s="76" t="s">
        <v>96</v>
      </c>
      <c r="AQ7" s="76" t="s">
        <v>518</v>
      </c>
      <c r="AR7" s="78" t="s">
        <v>509</v>
      </c>
    </row>
    <row r="8" spans="1:44" ht="66.75" customHeight="1" x14ac:dyDescent="0.25">
      <c r="A8" s="76" t="s">
        <v>501</v>
      </c>
      <c r="B8" s="76" t="s">
        <v>501</v>
      </c>
      <c r="C8" s="76" t="s">
        <v>148</v>
      </c>
      <c r="D8" s="76" t="s">
        <v>309</v>
      </c>
      <c r="E8" s="76" t="s">
        <v>310</v>
      </c>
      <c r="F8" s="76" t="s">
        <v>311</v>
      </c>
      <c r="G8" s="77" t="s">
        <v>234</v>
      </c>
      <c r="H8" s="76" t="s">
        <v>95</v>
      </c>
      <c r="I8" s="78" t="s">
        <v>528</v>
      </c>
      <c r="J8" s="78" t="s">
        <v>529</v>
      </c>
      <c r="K8" s="78" t="s">
        <v>528</v>
      </c>
      <c r="L8" s="76" t="s">
        <v>96</v>
      </c>
      <c r="M8" s="79">
        <v>4882.5</v>
      </c>
      <c r="N8" s="79">
        <v>759.5</v>
      </c>
      <c r="O8" s="79">
        <v>343.58</v>
      </c>
      <c r="P8" s="79">
        <v>669.08</v>
      </c>
      <c r="Q8" s="79">
        <v>1772.16</v>
      </c>
      <c r="R8" s="79">
        <v>6654.67</v>
      </c>
      <c r="S8" s="79" t="s">
        <v>96</v>
      </c>
      <c r="T8" s="79">
        <v>4941.37</v>
      </c>
      <c r="U8" s="80">
        <v>4340</v>
      </c>
      <c r="V8" s="79">
        <v>13.5</v>
      </c>
      <c r="W8" s="79">
        <v>18.399999999999999</v>
      </c>
      <c r="X8" s="76" t="s">
        <v>96</v>
      </c>
      <c r="Y8" s="76" t="s">
        <v>315</v>
      </c>
      <c r="Z8" s="76" t="s">
        <v>316</v>
      </c>
      <c r="AA8" s="76" t="s">
        <v>317</v>
      </c>
      <c r="AB8" s="76" t="s">
        <v>318</v>
      </c>
      <c r="AC8" s="76" t="s">
        <v>313</v>
      </c>
      <c r="AD8" s="76" t="s">
        <v>283</v>
      </c>
      <c r="AE8" s="76" t="s">
        <v>272</v>
      </c>
      <c r="AF8" s="78" t="s">
        <v>96</v>
      </c>
      <c r="AG8" s="76" t="s">
        <v>260</v>
      </c>
      <c r="AH8" s="76" t="s">
        <v>314</v>
      </c>
      <c r="AI8" s="76" t="s">
        <v>505</v>
      </c>
      <c r="AJ8" s="76" t="s">
        <v>244</v>
      </c>
      <c r="AK8" s="79" t="s">
        <v>96</v>
      </c>
      <c r="AL8" s="76" t="s">
        <v>96</v>
      </c>
      <c r="AM8" s="76" t="s">
        <v>96</v>
      </c>
      <c r="AN8" s="76" t="s">
        <v>530</v>
      </c>
      <c r="AO8" s="76" t="s">
        <v>235</v>
      </c>
      <c r="AP8" s="81" t="s">
        <v>507</v>
      </c>
      <c r="AQ8" s="76" t="s">
        <v>518</v>
      </c>
      <c r="AR8" s="78" t="s">
        <v>509</v>
      </c>
    </row>
    <row r="9" spans="1:44" ht="66.75" customHeight="1" x14ac:dyDescent="0.25">
      <c r="A9" s="76" t="s">
        <v>501</v>
      </c>
      <c r="B9" s="76" t="s">
        <v>501</v>
      </c>
      <c r="C9" s="76" t="s">
        <v>531</v>
      </c>
      <c r="D9" s="76" t="s">
        <v>321</v>
      </c>
      <c r="E9" s="76" t="s">
        <v>96</v>
      </c>
      <c r="F9" s="76" t="s">
        <v>96</v>
      </c>
      <c r="G9" s="81" t="s">
        <v>460</v>
      </c>
      <c r="H9" s="76" t="s">
        <v>95</v>
      </c>
      <c r="I9" s="78"/>
      <c r="J9" s="78"/>
      <c r="K9" s="78"/>
      <c r="L9" s="76" t="s">
        <v>96</v>
      </c>
      <c r="M9" s="79"/>
      <c r="N9" s="79"/>
      <c r="O9" s="79"/>
      <c r="P9" s="79"/>
      <c r="Q9" s="79" t="s">
        <v>96</v>
      </c>
      <c r="R9" s="79"/>
      <c r="S9" s="79" t="s">
        <v>96</v>
      </c>
      <c r="T9" s="79"/>
      <c r="U9" s="80">
        <v>1769</v>
      </c>
      <c r="V9" s="79"/>
      <c r="W9" s="79"/>
      <c r="X9" s="76" t="s">
        <v>96</v>
      </c>
      <c r="Y9" s="76" t="s">
        <v>96</v>
      </c>
      <c r="Z9" s="76"/>
      <c r="AA9" s="76"/>
      <c r="AB9" s="76" t="s">
        <v>96</v>
      </c>
      <c r="AC9" s="76" t="s">
        <v>322</v>
      </c>
      <c r="AD9" s="76" t="s">
        <v>516</v>
      </c>
      <c r="AE9" s="76" t="s">
        <v>96</v>
      </c>
      <c r="AF9" s="78" t="s">
        <v>96</v>
      </c>
      <c r="AG9" s="76" t="s">
        <v>96</v>
      </c>
      <c r="AH9" s="76" t="s">
        <v>96</v>
      </c>
      <c r="AI9" s="76" t="s">
        <v>505</v>
      </c>
      <c r="AJ9" s="76" t="s">
        <v>244</v>
      </c>
      <c r="AK9" s="79" t="s">
        <v>96</v>
      </c>
      <c r="AL9" s="76" t="s">
        <v>96</v>
      </c>
      <c r="AM9" s="76" t="s">
        <v>96</v>
      </c>
      <c r="AN9" s="76" t="s">
        <v>532</v>
      </c>
      <c r="AO9" s="76" t="s">
        <v>255</v>
      </c>
      <c r="AP9" s="81" t="s">
        <v>533</v>
      </c>
      <c r="AQ9" s="76" t="s">
        <v>534</v>
      </c>
      <c r="AR9" s="78" t="s">
        <v>509</v>
      </c>
    </row>
    <row r="10" spans="1:44" ht="66.75" customHeight="1" x14ac:dyDescent="0.25">
      <c r="A10" s="76" t="s">
        <v>501</v>
      </c>
      <c r="B10" s="76" t="s">
        <v>501</v>
      </c>
      <c r="C10" s="76" t="s">
        <v>106</v>
      </c>
      <c r="D10" s="76" t="s">
        <v>327</v>
      </c>
      <c r="E10" s="76" t="s">
        <v>328</v>
      </c>
      <c r="F10" s="76" t="s">
        <v>327</v>
      </c>
      <c r="G10" s="82" t="s">
        <v>510</v>
      </c>
      <c r="H10" s="76" t="s">
        <v>95</v>
      </c>
      <c r="I10" s="78" t="s">
        <v>535</v>
      </c>
      <c r="J10" s="78" t="s">
        <v>536</v>
      </c>
      <c r="K10" s="78" t="s">
        <v>535</v>
      </c>
      <c r="L10" s="76" t="s">
        <v>96</v>
      </c>
      <c r="M10" s="79">
        <v>2229.75</v>
      </c>
      <c r="N10" s="79">
        <v>346.85</v>
      </c>
      <c r="O10" s="79">
        <v>148.65</v>
      </c>
      <c r="P10" s="79">
        <v>165.17</v>
      </c>
      <c r="Q10" s="79">
        <v>660.67</v>
      </c>
      <c r="R10" s="79">
        <v>2890.42</v>
      </c>
      <c r="S10" s="79" t="s">
        <v>96</v>
      </c>
      <c r="T10" s="79">
        <v>2985.4</v>
      </c>
      <c r="U10" s="80">
        <v>1982</v>
      </c>
      <c r="V10" s="79">
        <v>13.5</v>
      </c>
      <c r="W10" s="79">
        <v>17.5</v>
      </c>
      <c r="X10" s="76" t="s">
        <v>96</v>
      </c>
      <c r="Y10" s="76" t="s">
        <v>333</v>
      </c>
      <c r="Z10" s="76" t="s">
        <v>334</v>
      </c>
      <c r="AA10" s="76" t="s">
        <v>335</v>
      </c>
      <c r="AB10" s="76" t="s">
        <v>336</v>
      </c>
      <c r="AC10" s="76" t="s">
        <v>330</v>
      </c>
      <c r="AD10" s="76" t="s">
        <v>516</v>
      </c>
      <c r="AE10" s="76" t="s">
        <v>331</v>
      </c>
      <c r="AF10" s="78" t="s">
        <v>96</v>
      </c>
      <c r="AG10" s="76" t="s">
        <v>260</v>
      </c>
      <c r="AH10" s="76" t="s">
        <v>261</v>
      </c>
      <c r="AI10" s="76" t="s">
        <v>332</v>
      </c>
      <c r="AJ10" s="76" t="s">
        <v>244</v>
      </c>
      <c r="AK10" s="79" t="s">
        <v>96</v>
      </c>
      <c r="AL10" s="76" t="s">
        <v>96</v>
      </c>
      <c r="AM10" s="76" t="s">
        <v>96</v>
      </c>
      <c r="AN10" s="76" t="s">
        <v>537</v>
      </c>
      <c r="AO10" s="76" t="s">
        <v>255</v>
      </c>
      <c r="AP10" s="81" t="s">
        <v>514</v>
      </c>
      <c r="AQ10" s="76" t="s">
        <v>508</v>
      </c>
      <c r="AR10" s="78" t="s">
        <v>509</v>
      </c>
    </row>
    <row r="11" spans="1:44" ht="66.75" customHeight="1" x14ac:dyDescent="0.25">
      <c r="A11" s="76" t="s">
        <v>501</v>
      </c>
      <c r="B11" s="76" t="s">
        <v>501</v>
      </c>
      <c r="C11" s="76" t="s">
        <v>538</v>
      </c>
      <c r="D11" s="76" t="s">
        <v>337</v>
      </c>
      <c r="E11" s="76" t="s">
        <v>96</v>
      </c>
      <c r="F11" s="76" t="s">
        <v>96</v>
      </c>
      <c r="G11" s="82" t="s">
        <v>510</v>
      </c>
      <c r="H11" s="76" t="s">
        <v>95</v>
      </c>
      <c r="I11" s="78" t="s">
        <v>539</v>
      </c>
      <c r="J11" s="78" t="s">
        <v>536</v>
      </c>
      <c r="K11" s="78" t="s">
        <v>539</v>
      </c>
      <c r="L11" s="76" t="s">
        <v>96</v>
      </c>
      <c r="M11" s="79"/>
      <c r="N11" s="79"/>
      <c r="O11" s="79"/>
      <c r="P11" s="79"/>
      <c r="Q11" s="79" t="s">
        <v>96</v>
      </c>
      <c r="R11" s="79">
        <v>3035.03</v>
      </c>
      <c r="S11" s="79" t="s">
        <v>96</v>
      </c>
      <c r="T11" s="79"/>
      <c r="U11" s="80">
        <v>1974</v>
      </c>
      <c r="V11" s="79"/>
      <c r="W11" s="79"/>
      <c r="X11" s="76" t="s">
        <v>96</v>
      </c>
      <c r="Y11" s="76" t="s">
        <v>96</v>
      </c>
      <c r="Z11" s="76"/>
      <c r="AA11" s="76"/>
      <c r="AB11" s="76" t="s">
        <v>96</v>
      </c>
      <c r="AC11" s="76" t="s">
        <v>342</v>
      </c>
      <c r="AD11" s="76" t="s">
        <v>343</v>
      </c>
      <c r="AE11" s="76" t="s">
        <v>259</v>
      </c>
      <c r="AF11" s="78" t="s">
        <v>96</v>
      </c>
      <c r="AG11" s="76" t="s">
        <v>260</v>
      </c>
      <c r="AH11" s="76" t="s">
        <v>261</v>
      </c>
      <c r="AI11" s="76" t="s">
        <v>344</v>
      </c>
      <c r="AJ11" s="76" t="s">
        <v>244</v>
      </c>
      <c r="AK11" s="79" t="s">
        <v>96</v>
      </c>
      <c r="AL11" s="76" t="s">
        <v>96</v>
      </c>
      <c r="AM11" s="76" t="s">
        <v>96</v>
      </c>
      <c r="AN11" s="76" t="s">
        <v>532</v>
      </c>
      <c r="AO11" s="76" t="s">
        <v>255</v>
      </c>
      <c r="AP11" s="81" t="s">
        <v>540</v>
      </c>
      <c r="AQ11" s="76" t="s">
        <v>534</v>
      </c>
      <c r="AR11" s="78" t="s">
        <v>509</v>
      </c>
    </row>
    <row r="12" spans="1:44" ht="66.75" customHeight="1" x14ac:dyDescent="0.25">
      <c r="A12" s="76" t="s">
        <v>501</v>
      </c>
      <c r="B12" s="76" t="s">
        <v>501</v>
      </c>
      <c r="C12" s="76" t="s">
        <v>111</v>
      </c>
      <c r="D12" s="76" t="s">
        <v>349</v>
      </c>
      <c r="E12" s="76" t="s">
        <v>350</v>
      </c>
      <c r="F12" s="76" t="s">
        <v>349</v>
      </c>
      <c r="G12" s="81" t="s">
        <v>541</v>
      </c>
      <c r="H12" s="76" t="s">
        <v>95</v>
      </c>
      <c r="I12" s="78" t="s">
        <v>542</v>
      </c>
      <c r="J12" s="78" t="s">
        <v>543</v>
      </c>
      <c r="K12" s="78" t="s">
        <v>542</v>
      </c>
      <c r="L12" s="76" t="s">
        <v>96</v>
      </c>
      <c r="M12" s="79">
        <v>1815.81</v>
      </c>
      <c r="N12" s="79">
        <v>299.08</v>
      </c>
      <c r="O12" s="79">
        <v>135.5</v>
      </c>
      <c r="P12" s="79">
        <v>277.70999999999998</v>
      </c>
      <c r="Q12" s="79">
        <v>712.29</v>
      </c>
      <c r="R12" s="79">
        <v>2528.1</v>
      </c>
      <c r="S12" s="79" t="s">
        <v>96</v>
      </c>
      <c r="T12" s="79">
        <v>1958.23</v>
      </c>
      <c r="U12" s="80">
        <v>1709</v>
      </c>
      <c r="V12" s="79">
        <v>0</v>
      </c>
      <c r="W12" s="79">
        <v>0</v>
      </c>
      <c r="X12" s="76" t="s">
        <v>96</v>
      </c>
      <c r="Y12" s="76" t="s">
        <v>354</v>
      </c>
      <c r="Z12" s="76" t="s">
        <v>355</v>
      </c>
      <c r="AA12" s="76" t="s">
        <v>356</v>
      </c>
      <c r="AB12" s="76" t="s">
        <v>357</v>
      </c>
      <c r="AC12" s="76" t="s">
        <v>353</v>
      </c>
      <c r="AD12" s="76" t="s">
        <v>516</v>
      </c>
      <c r="AE12" s="76" t="s">
        <v>331</v>
      </c>
      <c r="AF12" s="78" t="s">
        <v>96</v>
      </c>
      <c r="AG12" s="76" t="s">
        <v>260</v>
      </c>
      <c r="AH12" s="76" t="s">
        <v>261</v>
      </c>
      <c r="AI12" s="76" t="s">
        <v>505</v>
      </c>
      <c r="AJ12" s="76" t="s">
        <v>244</v>
      </c>
      <c r="AK12" s="79" t="s">
        <v>96</v>
      </c>
      <c r="AL12" s="76" t="s">
        <v>96</v>
      </c>
      <c r="AM12" s="76" t="s">
        <v>96</v>
      </c>
      <c r="AN12" s="76" t="s">
        <v>544</v>
      </c>
      <c r="AO12" s="76" t="s">
        <v>255</v>
      </c>
      <c r="AP12" s="81" t="s">
        <v>545</v>
      </c>
      <c r="AQ12" s="76" t="s">
        <v>508</v>
      </c>
      <c r="AR12" s="78" t="s">
        <v>509</v>
      </c>
    </row>
    <row r="13" spans="1:44" ht="66.75" customHeight="1" x14ac:dyDescent="0.25">
      <c r="A13" s="76" t="s">
        <v>501</v>
      </c>
      <c r="B13" s="76" t="s">
        <v>501</v>
      </c>
      <c r="C13" s="76" t="s">
        <v>358</v>
      </c>
      <c r="D13" s="76" t="s">
        <v>546</v>
      </c>
      <c r="E13" s="76" t="s">
        <v>360</v>
      </c>
      <c r="F13" s="76" t="s">
        <v>359</v>
      </c>
      <c r="G13" s="77" t="s">
        <v>234</v>
      </c>
      <c r="H13" s="76" t="s">
        <v>95</v>
      </c>
      <c r="I13" s="78" t="s">
        <v>547</v>
      </c>
      <c r="J13" s="78" t="s">
        <v>548</v>
      </c>
      <c r="K13" s="78" t="s">
        <v>547</v>
      </c>
      <c r="L13" s="76" t="s">
        <v>96</v>
      </c>
      <c r="M13" s="79">
        <v>4008.38</v>
      </c>
      <c r="N13" s="79">
        <v>623.52</v>
      </c>
      <c r="O13" s="79">
        <v>282.07</v>
      </c>
      <c r="P13" s="79">
        <v>578.99</v>
      </c>
      <c r="Q13" s="79">
        <v>1484.58</v>
      </c>
      <c r="R13" s="79">
        <v>5492.96</v>
      </c>
      <c r="S13" s="79" t="s">
        <v>96</v>
      </c>
      <c r="T13" s="79">
        <v>4008.38</v>
      </c>
      <c r="U13" s="80">
        <v>3563</v>
      </c>
      <c r="V13" s="79">
        <v>13.5</v>
      </c>
      <c r="W13" s="79">
        <v>18.5</v>
      </c>
      <c r="X13" s="76" t="s">
        <v>96</v>
      </c>
      <c r="Y13" s="76" t="s">
        <v>363</v>
      </c>
      <c r="Z13" s="76" t="s">
        <v>364</v>
      </c>
      <c r="AA13" s="76" t="s">
        <v>365</v>
      </c>
      <c r="AB13" s="76" t="s">
        <v>366</v>
      </c>
      <c r="AC13" s="76" t="s">
        <v>362</v>
      </c>
      <c r="AD13" s="76" t="s">
        <v>516</v>
      </c>
      <c r="AE13" s="76" t="s">
        <v>331</v>
      </c>
      <c r="AF13" s="78" t="s">
        <v>96</v>
      </c>
      <c r="AG13" s="76" t="s">
        <v>260</v>
      </c>
      <c r="AH13" s="76" t="s">
        <v>261</v>
      </c>
      <c r="AI13" s="76" t="s">
        <v>505</v>
      </c>
      <c r="AJ13" s="76" t="s">
        <v>244</v>
      </c>
      <c r="AK13" s="79" t="s">
        <v>96</v>
      </c>
      <c r="AL13" s="76" t="s">
        <v>96</v>
      </c>
      <c r="AM13" s="76" t="s">
        <v>96</v>
      </c>
      <c r="AN13" s="76" t="s">
        <v>549</v>
      </c>
      <c r="AO13" s="76" t="s">
        <v>302</v>
      </c>
      <c r="AP13" s="76" t="s">
        <v>96</v>
      </c>
      <c r="AQ13" s="76" t="s">
        <v>508</v>
      </c>
      <c r="AR13" s="78" t="s">
        <v>509</v>
      </c>
    </row>
    <row r="14" spans="1:44" ht="66.75" customHeight="1" x14ac:dyDescent="0.25">
      <c r="A14" s="76" t="s">
        <v>501</v>
      </c>
      <c r="B14" s="76" t="s">
        <v>501</v>
      </c>
      <c r="C14" s="76" t="s">
        <v>153</v>
      </c>
      <c r="D14" s="76" t="s">
        <v>367</v>
      </c>
      <c r="E14" s="76" t="s">
        <v>368</v>
      </c>
      <c r="F14" s="76" t="s">
        <v>367</v>
      </c>
      <c r="G14" s="77" t="s">
        <v>234</v>
      </c>
      <c r="H14" s="76" t="s">
        <v>95</v>
      </c>
      <c r="I14" s="78" t="s">
        <v>547</v>
      </c>
      <c r="J14" s="78" t="s">
        <v>550</v>
      </c>
      <c r="K14" s="78" t="s">
        <v>547</v>
      </c>
      <c r="L14" s="76" t="s">
        <v>96</v>
      </c>
      <c r="M14" s="79">
        <v>4807.12</v>
      </c>
      <c r="N14" s="79">
        <v>747.78</v>
      </c>
      <c r="O14" s="79">
        <v>338.28</v>
      </c>
      <c r="P14" s="79">
        <v>694.36</v>
      </c>
      <c r="Q14" s="79">
        <v>1780.42</v>
      </c>
      <c r="R14" s="79">
        <v>6587.54</v>
      </c>
      <c r="S14" s="79" t="s">
        <v>96</v>
      </c>
      <c r="T14" s="79">
        <v>2500</v>
      </c>
      <c r="U14" s="80">
        <v>4273</v>
      </c>
      <c r="V14" s="79">
        <v>13.5</v>
      </c>
      <c r="W14" s="79">
        <v>18.5</v>
      </c>
      <c r="X14" s="76" t="s">
        <v>96</v>
      </c>
      <c r="Y14" s="76" t="s">
        <v>372</v>
      </c>
      <c r="Z14" s="76" t="s">
        <v>373</v>
      </c>
      <c r="AA14" s="76" t="s">
        <v>374</v>
      </c>
      <c r="AB14" s="76" t="s">
        <v>375</v>
      </c>
      <c r="AC14" s="76" t="s">
        <v>370</v>
      </c>
      <c r="AD14" s="76" t="s">
        <v>516</v>
      </c>
      <c r="AE14" s="76" t="s">
        <v>331</v>
      </c>
      <c r="AF14" s="78" t="s">
        <v>96</v>
      </c>
      <c r="AG14" s="76" t="s">
        <v>260</v>
      </c>
      <c r="AH14" s="76" t="s">
        <v>371</v>
      </c>
      <c r="AI14" s="76" t="s">
        <v>505</v>
      </c>
      <c r="AJ14" s="76" t="s">
        <v>244</v>
      </c>
      <c r="AK14" s="79" t="s">
        <v>96</v>
      </c>
      <c r="AL14" s="76" t="s">
        <v>96</v>
      </c>
      <c r="AM14" s="76" t="s">
        <v>96</v>
      </c>
      <c r="AN14" s="76" t="s">
        <v>551</v>
      </c>
      <c r="AO14" s="76" t="s">
        <v>235</v>
      </c>
      <c r="AP14" s="81" t="s">
        <v>507</v>
      </c>
      <c r="AQ14" s="76" t="s">
        <v>518</v>
      </c>
      <c r="AR14" s="78" t="s">
        <v>509</v>
      </c>
    </row>
    <row r="15" spans="1:44" ht="66.75" customHeight="1" x14ac:dyDescent="0.25">
      <c r="A15" s="76" t="s">
        <v>501</v>
      </c>
      <c r="B15" s="76" t="s">
        <v>501</v>
      </c>
      <c r="C15" s="76" t="s">
        <v>157</v>
      </c>
      <c r="D15" s="76" t="s">
        <v>552</v>
      </c>
      <c r="E15" s="76" t="s">
        <v>378</v>
      </c>
      <c r="F15" s="76" t="s">
        <v>377</v>
      </c>
      <c r="G15" s="77" t="s">
        <v>234</v>
      </c>
      <c r="H15" s="76" t="s">
        <v>95</v>
      </c>
      <c r="I15" s="78" t="s">
        <v>553</v>
      </c>
      <c r="J15" s="78" t="s">
        <v>554</v>
      </c>
      <c r="K15" s="78" t="s">
        <v>553</v>
      </c>
      <c r="L15" s="76" t="s">
        <v>96</v>
      </c>
      <c r="M15" s="79">
        <v>2087.17</v>
      </c>
      <c r="N15" s="79">
        <v>313.07</v>
      </c>
      <c r="O15" s="79">
        <v>141.63</v>
      </c>
      <c r="P15" s="79">
        <v>290.70999999999998</v>
      </c>
      <c r="Q15" s="79">
        <v>745.41</v>
      </c>
      <c r="R15" s="79">
        <v>2832.58</v>
      </c>
      <c r="S15" s="79" t="s">
        <v>96</v>
      </c>
      <c r="T15" s="79">
        <v>2832.58</v>
      </c>
      <c r="U15" s="80">
        <v>1789</v>
      </c>
      <c r="V15" s="79">
        <v>14</v>
      </c>
      <c r="W15" s="79">
        <v>19</v>
      </c>
      <c r="X15" s="76" t="s">
        <v>96</v>
      </c>
      <c r="Y15" s="76" t="s">
        <v>381</v>
      </c>
      <c r="Z15" s="76" t="s">
        <v>382</v>
      </c>
      <c r="AA15" s="76" t="s">
        <v>383</v>
      </c>
      <c r="AB15" s="76" t="s">
        <v>384</v>
      </c>
      <c r="AC15" s="76" t="s">
        <v>380</v>
      </c>
      <c r="AD15" s="76" t="s">
        <v>516</v>
      </c>
      <c r="AE15" s="76" t="s">
        <v>331</v>
      </c>
      <c r="AF15" s="78" t="s">
        <v>96</v>
      </c>
      <c r="AG15" s="76" t="s">
        <v>260</v>
      </c>
      <c r="AH15" s="76" t="s">
        <v>371</v>
      </c>
      <c r="AI15" s="76" t="s">
        <v>505</v>
      </c>
      <c r="AJ15" s="76" t="s">
        <v>244</v>
      </c>
      <c r="AK15" s="79" t="s">
        <v>96</v>
      </c>
      <c r="AL15" s="76" t="s">
        <v>96</v>
      </c>
      <c r="AM15" s="76" t="s">
        <v>96</v>
      </c>
      <c r="AN15" s="76" t="s">
        <v>555</v>
      </c>
      <c r="AO15" s="76" t="s">
        <v>235</v>
      </c>
      <c r="AP15" s="81" t="s">
        <v>507</v>
      </c>
      <c r="AQ15" s="76" t="s">
        <v>518</v>
      </c>
      <c r="AR15" s="78" t="s">
        <v>509</v>
      </c>
    </row>
    <row r="16" spans="1:44" ht="66.75" customHeight="1" x14ac:dyDescent="0.25">
      <c r="A16" s="76" t="s">
        <v>501</v>
      </c>
      <c r="B16" s="76" t="s">
        <v>501</v>
      </c>
      <c r="C16" s="76" t="s">
        <v>556</v>
      </c>
      <c r="D16" s="76" t="s">
        <v>385</v>
      </c>
      <c r="E16" s="76" t="s">
        <v>96</v>
      </c>
      <c r="F16" s="76" t="s">
        <v>96</v>
      </c>
      <c r="G16" s="83" t="s">
        <v>385</v>
      </c>
      <c r="H16" s="76" t="s">
        <v>95</v>
      </c>
      <c r="I16" s="78"/>
      <c r="J16" s="78"/>
      <c r="K16" s="78"/>
      <c r="L16" s="76" t="s">
        <v>96</v>
      </c>
      <c r="M16" s="79"/>
      <c r="N16" s="79"/>
      <c r="O16" s="79"/>
      <c r="P16" s="79"/>
      <c r="Q16" s="79" t="s">
        <v>96</v>
      </c>
      <c r="R16" s="79"/>
      <c r="S16" s="79" t="s">
        <v>96</v>
      </c>
      <c r="T16" s="79"/>
      <c r="U16" s="80">
        <v>3179</v>
      </c>
      <c r="V16" s="79"/>
      <c r="W16" s="79"/>
      <c r="X16" s="76" t="s">
        <v>96</v>
      </c>
      <c r="Y16" s="76" t="s">
        <v>96</v>
      </c>
      <c r="Z16" s="76"/>
      <c r="AA16" s="76"/>
      <c r="AB16" s="76" t="s">
        <v>96</v>
      </c>
      <c r="AC16" s="76" t="s">
        <v>96</v>
      </c>
      <c r="AD16" s="76" t="s">
        <v>96</v>
      </c>
      <c r="AE16" s="76" t="s">
        <v>96</v>
      </c>
      <c r="AF16" s="78" t="s">
        <v>96</v>
      </c>
      <c r="AG16" s="76" t="s">
        <v>96</v>
      </c>
      <c r="AH16" s="76" t="s">
        <v>96</v>
      </c>
      <c r="AI16" s="76" t="s">
        <v>505</v>
      </c>
      <c r="AJ16" s="76" t="s">
        <v>244</v>
      </c>
      <c r="AK16" s="79" t="s">
        <v>96</v>
      </c>
      <c r="AL16" s="76" t="s">
        <v>96</v>
      </c>
      <c r="AM16" s="76" t="s">
        <v>96</v>
      </c>
      <c r="AN16" s="76" t="s">
        <v>557</v>
      </c>
      <c r="AO16" s="76" t="s">
        <v>235</v>
      </c>
      <c r="AP16" s="81" t="s">
        <v>558</v>
      </c>
      <c r="AQ16" s="76" t="s">
        <v>534</v>
      </c>
      <c r="AR16" s="78" t="s">
        <v>509</v>
      </c>
    </row>
    <row r="17" spans="1:44" ht="66.75" customHeight="1" x14ac:dyDescent="0.25">
      <c r="A17" s="76" t="s">
        <v>501</v>
      </c>
      <c r="B17" s="76" t="s">
        <v>501</v>
      </c>
      <c r="C17" s="76" t="s">
        <v>166</v>
      </c>
      <c r="D17" s="76" t="s">
        <v>392</v>
      </c>
      <c r="E17" s="76" t="s">
        <v>393</v>
      </c>
      <c r="F17" s="76" t="s">
        <v>394</v>
      </c>
      <c r="G17" s="77" t="s">
        <v>234</v>
      </c>
      <c r="H17" s="76" t="s">
        <v>95</v>
      </c>
      <c r="I17" s="78" t="s">
        <v>559</v>
      </c>
      <c r="J17" s="78" t="s">
        <v>560</v>
      </c>
      <c r="K17" s="78" t="s">
        <v>559</v>
      </c>
      <c r="L17" s="76" t="s">
        <v>96</v>
      </c>
      <c r="M17" s="79">
        <v>1382.5</v>
      </c>
      <c r="N17" s="79">
        <v>276.5</v>
      </c>
      <c r="O17" s="79">
        <v>125.08</v>
      </c>
      <c r="P17" s="79">
        <v>256.75</v>
      </c>
      <c r="Q17" s="79">
        <v>658.33</v>
      </c>
      <c r="R17" s="79">
        <v>2040.83</v>
      </c>
      <c r="S17" s="79" t="s">
        <v>96</v>
      </c>
      <c r="T17" s="79">
        <v>1580</v>
      </c>
      <c r="U17" s="80">
        <v>1580</v>
      </c>
      <c r="V17" s="79">
        <v>10.5</v>
      </c>
      <c r="W17" s="79">
        <v>15.5</v>
      </c>
      <c r="X17" s="76" t="s">
        <v>96</v>
      </c>
      <c r="Y17" s="76" t="s">
        <v>398</v>
      </c>
      <c r="Z17" s="76" t="s">
        <v>399</v>
      </c>
      <c r="AA17" s="76" t="s">
        <v>400</v>
      </c>
      <c r="AB17" s="76" t="s">
        <v>401</v>
      </c>
      <c r="AC17" s="76" t="s">
        <v>396</v>
      </c>
      <c r="AD17" s="76" t="s">
        <v>516</v>
      </c>
      <c r="AE17" s="76" t="s">
        <v>331</v>
      </c>
      <c r="AF17" s="78" t="s">
        <v>96</v>
      </c>
      <c r="AG17" s="76" t="s">
        <v>260</v>
      </c>
      <c r="AH17" s="76" t="s">
        <v>371</v>
      </c>
      <c r="AI17" s="76" t="s">
        <v>397</v>
      </c>
      <c r="AJ17" s="76" t="s">
        <v>244</v>
      </c>
      <c r="AK17" s="79" t="s">
        <v>96</v>
      </c>
      <c r="AL17" s="76" t="s">
        <v>96</v>
      </c>
      <c r="AM17" s="76" t="s">
        <v>96</v>
      </c>
      <c r="AN17" s="76" t="s">
        <v>561</v>
      </c>
      <c r="AO17" s="76" t="s">
        <v>235</v>
      </c>
      <c r="AP17" s="81" t="s">
        <v>507</v>
      </c>
      <c r="AQ17" s="76" t="s">
        <v>508</v>
      </c>
      <c r="AR17" s="78" t="s">
        <v>509</v>
      </c>
    </row>
    <row r="18" spans="1:44" ht="66.75" customHeight="1" x14ac:dyDescent="0.25">
      <c r="A18" s="76" t="s">
        <v>501</v>
      </c>
      <c r="B18" s="76" t="s">
        <v>501</v>
      </c>
      <c r="C18" s="76" t="s">
        <v>402</v>
      </c>
      <c r="D18" s="76" t="s">
        <v>562</v>
      </c>
      <c r="E18" s="76" t="s">
        <v>404</v>
      </c>
      <c r="F18" s="76" t="s">
        <v>96</v>
      </c>
      <c r="G18" s="77" t="s">
        <v>234</v>
      </c>
      <c r="H18" s="76" t="s">
        <v>95</v>
      </c>
      <c r="I18" s="78"/>
      <c r="J18" s="78"/>
      <c r="K18" s="78"/>
      <c r="L18" s="76" t="s">
        <v>96</v>
      </c>
      <c r="M18" s="79" t="s">
        <v>96</v>
      </c>
      <c r="N18" s="79" t="s">
        <v>96</v>
      </c>
      <c r="O18" s="79">
        <v>0</v>
      </c>
      <c r="P18" s="79">
        <v>0</v>
      </c>
      <c r="Q18" s="79" t="s">
        <v>96</v>
      </c>
      <c r="R18" s="79"/>
      <c r="S18" s="79" t="s">
        <v>96</v>
      </c>
      <c r="T18" s="79"/>
      <c r="U18" s="80">
        <v>1580</v>
      </c>
      <c r="V18" s="79">
        <v>0</v>
      </c>
      <c r="W18" s="79">
        <v>0</v>
      </c>
      <c r="X18" s="76" t="s">
        <v>96</v>
      </c>
      <c r="Y18" s="76" t="s">
        <v>408</v>
      </c>
      <c r="Z18" s="76" t="s">
        <v>409</v>
      </c>
      <c r="AA18" s="76" t="s">
        <v>410</v>
      </c>
      <c r="AB18" s="76" t="s">
        <v>411</v>
      </c>
      <c r="AC18" s="76" t="s">
        <v>96</v>
      </c>
      <c r="AD18" s="76" t="s">
        <v>96</v>
      </c>
      <c r="AE18" s="76" t="s">
        <v>96</v>
      </c>
      <c r="AF18" s="78" t="s">
        <v>96</v>
      </c>
      <c r="AG18" s="76" t="s">
        <v>304</v>
      </c>
      <c r="AH18" s="76" t="s">
        <v>96</v>
      </c>
      <c r="AI18" s="76" t="s">
        <v>505</v>
      </c>
      <c r="AJ18" s="76" t="s">
        <v>244</v>
      </c>
      <c r="AK18" s="79" t="s">
        <v>96</v>
      </c>
      <c r="AL18" s="76" t="s">
        <v>96</v>
      </c>
      <c r="AM18" s="76" t="s">
        <v>96</v>
      </c>
      <c r="AN18" s="76" t="s">
        <v>563</v>
      </c>
      <c r="AO18" s="76" t="s">
        <v>255</v>
      </c>
      <c r="AP18" s="81" t="s">
        <v>564</v>
      </c>
      <c r="AQ18" s="76" t="s">
        <v>518</v>
      </c>
      <c r="AR18" s="78" t="s">
        <v>509</v>
      </c>
    </row>
    <row r="19" spans="1:44" ht="66.75" customHeight="1" x14ac:dyDescent="0.25">
      <c r="A19" s="76" t="s">
        <v>501</v>
      </c>
      <c r="B19" s="76" t="s">
        <v>501</v>
      </c>
      <c r="C19" s="76" t="s">
        <v>171</v>
      </c>
      <c r="D19" s="76" t="s">
        <v>412</v>
      </c>
      <c r="E19" s="76" t="s">
        <v>413</v>
      </c>
      <c r="F19" s="76" t="s">
        <v>412</v>
      </c>
      <c r="G19" s="77" t="s">
        <v>234</v>
      </c>
      <c r="H19" s="76" t="s">
        <v>95</v>
      </c>
      <c r="I19" s="78" t="s">
        <v>565</v>
      </c>
      <c r="J19" s="78" t="s">
        <v>566</v>
      </c>
      <c r="K19" s="78" t="s">
        <v>565</v>
      </c>
      <c r="L19" s="76" t="s">
        <v>96</v>
      </c>
      <c r="M19" s="79">
        <v>2309.62</v>
      </c>
      <c r="N19" s="79">
        <v>359.28</v>
      </c>
      <c r="O19" s="79">
        <v>162.53</v>
      </c>
      <c r="P19" s="79">
        <v>333.61</v>
      </c>
      <c r="Q19" s="79">
        <v>855.42</v>
      </c>
      <c r="R19" s="79">
        <v>3165.04</v>
      </c>
      <c r="S19" s="79" t="s">
        <v>96</v>
      </c>
      <c r="T19" s="79"/>
      <c r="U19" s="80">
        <v>2053</v>
      </c>
      <c r="V19" s="79">
        <v>13.5</v>
      </c>
      <c r="W19" s="79">
        <v>18.5</v>
      </c>
      <c r="X19" s="76" t="s">
        <v>96</v>
      </c>
      <c r="Y19" s="76" t="s">
        <v>416</v>
      </c>
      <c r="Z19" s="76" t="s">
        <v>417</v>
      </c>
      <c r="AA19" s="76" t="s">
        <v>418</v>
      </c>
      <c r="AB19" s="76" t="s">
        <v>419</v>
      </c>
      <c r="AC19" s="76" t="s">
        <v>415</v>
      </c>
      <c r="AD19" s="76" t="s">
        <v>516</v>
      </c>
      <c r="AE19" s="76" t="s">
        <v>331</v>
      </c>
      <c r="AF19" s="78" t="s">
        <v>96</v>
      </c>
      <c r="AG19" s="76" t="s">
        <v>260</v>
      </c>
      <c r="AH19" s="76" t="s">
        <v>261</v>
      </c>
      <c r="AI19" s="76" t="s">
        <v>505</v>
      </c>
      <c r="AJ19" s="76" t="s">
        <v>244</v>
      </c>
      <c r="AK19" s="79" t="s">
        <v>96</v>
      </c>
      <c r="AL19" s="76" t="s">
        <v>96</v>
      </c>
      <c r="AM19" s="76" t="s">
        <v>96</v>
      </c>
      <c r="AN19" s="76" t="s">
        <v>567</v>
      </c>
      <c r="AO19" s="76" t="s">
        <v>235</v>
      </c>
      <c r="AP19" s="81" t="s">
        <v>507</v>
      </c>
      <c r="AQ19" s="76" t="s">
        <v>518</v>
      </c>
      <c r="AR19" s="78" t="s">
        <v>509</v>
      </c>
    </row>
    <row r="20" spans="1:44" ht="66.75" customHeight="1" x14ac:dyDescent="0.25">
      <c r="A20" s="76" t="s">
        <v>501</v>
      </c>
      <c r="B20" s="76" t="s">
        <v>501</v>
      </c>
      <c r="C20" s="76" t="s">
        <v>176</v>
      </c>
      <c r="D20" s="76" t="s">
        <v>420</v>
      </c>
      <c r="E20" s="76" t="s">
        <v>421</v>
      </c>
      <c r="F20" s="76" t="s">
        <v>420</v>
      </c>
      <c r="G20" s="77" t="s">
        <v>234</v>
      </c>
      <c r="H20" s="76" t="s">
        <v>95</v>
      </c>
      <c r="I20" s="78" t="s">
        <v>568</v>
      </c>
      <c r="J20" s="78" t="s">
        <v>569</v>
      </c>
      <c r="K20" s="78" t="s">
        <v>568</v>
      </c>
      <c r="L20" s="76" t="s">
        <v>96</v>
      </c>
      <c r="M20" s="79">
        <v>4313.25</v>
      </c>
      <c r="N20" s="79">
        <v>670.95</v>
      </c>
      <c r="O20" s="79">
        <v>303.52</v>
      </c>
      <c r="P20" s="79">
        <v>623.02</v>
      </c>
      <c r="Q20" s="79">
        <v>1597.49</v>
      </c>
      <c r="R20" s="79">
        <v>5910.75</v>
      </c>
      <c r="S20" s="79" t="s">
        <v>96</v>
      </c>
      <c r="T20" s="79">
        <v>4313.25</v>
      </c>
      <c r="U20" s="80">
        <v>3834</v>
      </c>
      <c r="V20" s="79">
        <v>13.5</v>
      </c>
      <c r="W20" s="79">
        <v>18.5</v>
      </c>
      <c r="X20" s="76" t="s">
        <v>96</v>
      </c>
      <c r="Y20" s="76" t="s">
        <v>424</v>
      </c>
      <c r="Z20" s="76" t="s">
        <v>425</v>
      </c>
      <c r="AA20" s="76" t="s">
        <v>426</v>
      </c>
      <c r="AB20" s="76" t="s">
        <v>427</v>
      </c>
      <c r="AC20" s="76" t="s">
        <v>423</v>
      </c>
      <c r="AD20" s="76" t="s">
        <v>516</v>
      </c>
      <c r="AE20" s="76" t="s">
        <v>331</v>
      </c>
      <c r="AF20" s="78" t="s">
        <v>96</v>
      </c>
      <c r="AG20" s="76" t="s">
        <v>260</v>
      </c>
      <c r="AH20" s="76" t="s">
        <v>261</v>
      </c>
      <c r="AI20" s="76" t="s">
        <v>505</v>
      </c>
      <c r="AJ20" s="76" t="s">
        <v>244</v>
      </c>
      <c r="AK20" s="79" t="s">
        <v>96</v>
      </c>
      <c r="AL20" s="76" t="s">
        <v>96</v>
      </c>
      <c r="AM20" s="76" t="s">
        <v>96</v>
      </c>
      <c r="AN20" s="76" t="s">
        <v>570</v>
      </c>
      <c r="AO20" s="76" t="s">
        <v>235</v>
      </c>
      <c r="AP20" s="81" t="s">
        <v>507</v>
      </c>
      <c r="AQ20" s="76" t="s">
        <v>518</v>
      </c>
      <c r="AR20" s="78" t="s">
        <v>509</v>
      </c>
    </row>
    <row r="21" spans="1:44" ht="66.75" customHeight="1" x14ac:dyDescent="0.25">
      <c r="A21" s="76" t="s">
        <v>501</v>
      </c>
      <c r="B21" s="76" t="s">
        <v>501</v>
      </c>
      <c r="C21" s="76" t="s">
        <v>117</v>
      </c>
      <c r="D21" s="76" t="s">
        <v>429</v>
      </c>
      <c r="E21" s="76" t="s">
        <v>430</v>
      </c>
      <c r="F21" s="76" t="s">
        <v>429</v>
      </c>
      <c r="G21" s="82" t="s">
        <v>510</v>
      </c>
      <c r="H21" s="76" t="s">
        <v>95</v>
      </c>
      <c r="I21" s="78" t="s">
        <v>571</v>
      </c>
      <c r="J21" s="78" t="s">
        <v>572</v>
      </c>
      <c r="K21" s="78" t="s">
        <v>571</v>
      </c>
      <c r="L21" s="76" t="s">
        <v>96</v>
      </c>
      <c r="M21" s="79">
        <v>2556</v>
      </c>
      <c r="N21" s="79">
        <v>335.48</v>
      </c>
      <c r="O21" s="79">
        <v>135.79</v>
      </c>
      <c r="P21" s="79">
        <v>159.75</v>
      </c>
      <c r="Q21" s="79">
        <v>631.02</v>
      </c>
      <c r="R21" s="79">
        <v>3187.02</v>
      </c>
      <c r="S21" s="79" t="s">
        <v>96</v>
      </c>
      <c r="T21" s="79"/>
      <c r="U21" s="80">
        <v>1917</v>
      </c>
      <c r="V21" s="79">
        <v>16</v>
      </c>
      <c r="W21" s="79">
        <v>19.95</v>
      </c>
      <c r="X21" s="76" t="s">
        <v>96</v>
      </c>
      <c r="Y21" s="76" t="s">
        <v>96</v>
      </c>
      <c r="Z21" s="76" t="s">
        <v>433</v>
      </c>
      <c r="AA21" s="76" t="s">
        <v>434</v>
      </c>
      <c r="AB21" s="76" t="s">
        <v>435</v>
      </c>
      <c r="AC21" s="76" t="s">
        <v>432</v>
      </c>
      <c r="AD21" s="76" t="s">
        <v>516</v>
      </c>
      <c r="AE21" s="76" t="s">
        <v>331</v>
      </c>
      <c r="AF21" s="78" t="s">
        <v>96</v>
      </c>
      <c r="AG21" s="76" t="s">
        <v>260</v>
      </c>
      <c r="AH21" s="76" t="s">
        <v>261</v>
      </c>
      <c r="AI21" s="76" t="s">
        <v>505</v>
      </c>
      <c r="AJ21" s="76" t="s">
        <v>244</v>
      </c>
      <c r="AK21" s="79" t="s">
        <v>96</v>
      </c>
      <c r="AL21" s="76" t="s">
        <v>96</v>
      </c>
      <c r="AM21" s="76" t="s">
        <v>96</v>
      </c>
      <c r="AN21" s="76" t="s">
        <v>573</v>
      </c>
      <c r="AO21" s="76" t="s">
        <v>255</v>
      </c>
      <c r="AP21" s="81" t="s">
        <v>514</v>
      </c>
      <c r="AQ21" s="76" t="s">
        <v>518</v>
      </c>
      <c r="AR21" s="78" t="s">
        <v>509</v>
      </c>
    </row>
    <row r="22" spans="1:44" ht="66.75" customHeight="1" x14ac:dyDescent="0.25">
      <c r="A22" s="76" t="s">
        <v>501</v>
      </c>
      <c r="B22" s="76" t="s">
        <v>501</v>
      </c>
      <c r="C22" s="76" t="s">
        <v>121</v>
      </c>
      <c r="D22" s="76" t="s">
        <v>385</v>
      </c>
      <c r="E22" s="76" t="s">
        <v>437</v>
      </c>
      <c r="F22" s="76" t="s">
        <v>96</v>
      </c>
      <c r="G22" s="83" t="s">
        <v>385</v>
      </c>
      <c r="H22" s="76" t="s">
        <v>95</v>
      </c>
      <c r="I22" s="78" t="s">
        <v>574</v>
      </c>
      <c r="J22" s="78" t="s">
        <v>575</v>
      </c>
      <c r="K22" s="78" t="s">
        <v>574</v>
      </c>
      <c r="L22" s="76" t="s">
        <v>96</v>
      </c>
      <c r="M22" s="79" t="s">
        <v>96</v>
      </c>
      <c r="N22" s="79" t="s">
        <v>96</v>
      </c>
      <c r="O22" s="79">
        <v>135.79</v>
      </c>
      <c r="P22" s="79">
        <v>159.75</v>
      </c>
      <c r="Q22" s="79" t="s">
        <v>96</v>
      </c>
      <c r="R22" s="79">
        <v>295.54000000000002</v>
      </c>
      <c r="S22" s="79" t="s">
        <v>96</v>
      </c>
      <c r="T22" s="79">
        <v>1250</v>
      </c>
      <c r="U22" s="80">
        <v>1917</v>
      </c>
      <c r="V22" s="79">
        <v>13.5</v>
      </c>
      <c r="W22" s="79">
        <v>17.45</v>
      </c>
      <c r="X22" s="76" t="s">
        <v>96</v>
      </c>
      <c r="Y22" s="76" t="s">
        <v>96</v>
      </c>
      <c r="Z22" s="76" t="s">
        <v>440</v>
      </c>
      <c r="AA22" s="76" t="s">
        <v>441</v>
      </c>
      <c r="AB22" s="76" t="s">
        <v>442</v>
      </c>
      <c r="AC22" s="76" t="s">
        <v>96</v>
      </c>
      <c r="AD22" s="76" t="s">
        <v>96</v>
      </c>
      <c r="AE22" s="76" t="s">
        <v>96</v>
      </c>
      <c r="AF22" s="78" t="s">
        <v>96</v>
      </c>
      <c r="AG22" s="76" t="s">
        <v>304</v>
      </c>
      <c r="AH22" s="76" t="s">
        <v>96</v>
      </c>
      <c r="AI22" s="76" t="s">
        <v>505</v>
      </c>
      <c r="AJ22" s="76" t="s">
        <v>244</v>
      </c>
      <c r="AK22" s="79" t="s">
        <v>96</v>
      </c>
      <c r="AL22" s="76" t="s">
        <v>96</v>
      </c>
      <c r="AM22" s="76" t="s">
        <v>96</v>
      </c>
      <c r="AN22" s="76" t="s">
        <v>576</v>
      </c>
      <c r="AO22" s="76" t="s">
        <v>235</v>
      </c>
      <c r="AP22" s="81" t="s">
        <v>558</v>
      </c>
      <c r="AQ22" s="76" t="s">
        <v>508</v>
      </c>
      <c r="AR22" s="78" t="s">
        <v>509</v>
      </c>
    </row>
    <row r="23" spans="1:44" ht="66.75" customHeight="1" x14ac:dyDescent="0.25">
      <c r="A23" s="76" t="s">
        <v>501</v>
      </c>
      <c r="B23" s="76" t="s">
        <v>501</v>
      </c>
      <c r="C23" s="76" t="s">
        <v>127</v>
      </c>
      <c r="D23" s="76" t="s">
        <v>443</v>
      </c>
      <c r="E23" s="76" t="s">
        <v>444</v>
      </c>
      <c r="F23" s="76" t="s">
        <v>445</v>
      </c>
      <c r="G23" s="77" t="s">
        <v>234</v>
      </c>
      <c r="H23" s="76" t="s">
        <v>95</v>
      </c>
      <c r="I23" s="78" t="s">
        <v>577</v>
      </c>
      <c r="J23" s="78" t="s">
        <v>566</v>
      </c>
      <c r="K23" s="78" t="s">
        <v>577</v>
      </c>
      <c r="L23" s="76" t="s">
        <v>96</v>
      </c>
      <c r="M23" s="79">
        <v>6246.77</v>
      </c>
      <c r="N23" s="79">
        <v>807.28</v>
      </c>
      <c r="O23" s="79">
        <v>326.75</v>
      </c>
      <c r="P23" s="79">
        <v>384.42</v>
      </c>
      <c r="Q23" s="79">
        <v>1518.45</v>
      </c>
      <c r="R23" s="79">
        <v>7765.22</v>
      </c>
      <c r="S23" s="79" t="s">
        <v>96</v>
      </c>
      <c r="T23" s="79">
        <v>0</v>
      </c>
      <c r="U23" s="80">
        <v>4613</v>
      </c>
      <c r="V23" s="79">
        <v>16.25</v>
      </c>
      <c r="W23" s="79">
        <v>20.2</v>
      </c>
      <c r="X23" s="76" t="s">
        <v>96</v>
      </c>
      <c r="Y23" s="76" t="s">
        <v>449</v>
      </c>
      <c r="Z23" s="76" t="s">
        <v>450</v>
      </c>
      <c r="AA23" s="76" t="s">
        <v>451</v>
      </c>
      <c r="AB23" s="76" t="s">
        <v>452</v>
      </c>
      <c r="AC23" s="76" t="s">
        <v>447</v>
      </c>
      <c r="AD23" s="76" t="s">
        <v>448</v>
      </c>
      <c r="AE23" s="76" t="s">
        <v>331</v>
      </c>
      <c r="AF23" s="78" t="s">
        <v>96</v>
      </c>
      <c r="AG23" s="76" t="s">
        <v>260</v>
      </c>
      <c r="AH23" s="76" t="s">
        <v>261</v>
      </c>
      <c r="AI23" s="76" t="s">
        <v>505</v>
      </c>
      <c r="AJ23" s="76" t="s">
        <v>244</v>
      </c>
      <c r="AK23" s="79" t="s">
        <v>96</v>
      </c>
      <c r="AL23" s="76" t="s">
        <v>96</v>
      </c>
      <c r="AM23" s="76" t="s">
        <v>96</v>
      </c>
      <c r="AN23" s="76" t="s">
        <v>578</v>
      </c>
      <c r="AO23" s="76" t="s">
        <v>235</v>
      </c>
      <c r="AP23" s="81" t="s">
        <v>507</v>
      </c>
      <c r="AQ23" s="76" t="s">
        <v>508</v>
      </c>
      <c r="AR23" s="78" t="s">
        <v>509</v>
      </c>
    </row>
    <row r="24" spans="1:44" ht="66.75" customHeight="1" x14ac:dyDescent="0.25">
      <c r="A24" s="76" t="s">
        <v>501</v>
      </c>
      <c r="B24" s="76" t="s">
        <v>501</v>
      </c>
      <c r="C24" s="76" t="s">
        <v>579</v>
      </c>
      <c r="D24" s="76" t="s">
        <v>320</v>
      </c>
      <c r="E24" s="76" t="s">
        <v>320</v>
      </c>
      <c r="F24" s="76" t="s">
        <v>321</v>
      </c>
      <c r="G24" s="82" t="s">
        <v>510</v>
      </c>
      <c r="H24" s="76" t="s">
        <v>95</v>
      </c>
      <c r="I24" s="78" t="s">
        <v>580</v>
      </c>
      <c r="J24" s="78" t="s">
        <v>536</v>
      </c>
      <c r="K24" s="78" t="s">
        <v>580</v>
      </c>
      <c r="L24" s="76" t="s">
        <v>96</v>
      </c>
      <c r="M24" s="79">
        <v>2063.83</v>
      </c>
      <c r="N24" s="79">
        <v>309.57</v>
      </c>
      <c r="O24" s="79">
        <v>176.9</v>
      </c>
      <c r="P24" s="79">
        <v>169.53</v>
      </c>
      <c r="Q24" s="79">
        <v>656</v>
      </c>
      <c r="R24" s="79">
        <v>2719.83</v>
      </c>
      <c r="S24" s="79" t="s">
        <v>96</v>
      </c>
      <c r="T24" s="79">
        <v>1842.71</v>
      </c>
      <c r="U24" s="80">
        <v>1769</v>
      </c>
      <c r="V24" s="79">
        <v>14</v>
      </c>
      <c r="W24" s="79">
        <v>18.45</v>
      </c>
      <c r="X24" s="76" t="s">
        <v>96</v>
      </c>
      <c r="Y24" s="76" t="s">
        <v>323</v>
      </c>
      <c r="Z24" s="76" t="s">
        <v>324</v>
      </c>
      <c r="AA24" s="76" t="s">
        <v>325</v>
      </c>
      <c r="AB24" s="76" t="s">
        <v>326</v>
      </c>
      <c r="AC24" s="76" t="s">
        <v>96</v>
      </c>
      <c r="AD24" s="76" t="s">
        <v>96</v>
      </c>
      <c r="AE24" s="76" t="s">
        <v>96</v>
      </c>
      <c r="AF24" s="78" t="s">
        <v>96</v>
      </c>
      <c r="AG24" s="76" t="s">
        <v>304</v>
      </c>
      <c r="AH24" s="76" t="s">
        <v>96</v>
      </c>
      <c r="AI24" s="76" t="s">
        <v>96</v>
      </c>
      <c r="AJ24" s="76" t="s">
        <v>96</v>
      </c>
      <c r="AK24" s="79" t="s">
        <v>96</v>
      </c>
      <c r="AL24" s="76" t="s">
        <v>96</v>
      </c>
      <c r="AM24" s="76" t="s">
        <v>96</v>
      </c>
      <c r="AN24" s="76" t="s">
        <v>581</v>
      </c>
      <c r="AO24" s="76" t="s">
        <v>235</v>
      </c>
      <c r="AP24" s="81" t="s">
        <v>582</v>
      </c>
      <c r="AQ24" s="76" t="s">
        <v>583</v>
      </c>
      <c r="AR24" s="78" t="s">
        <v>509</v>
      </c>
    </row>
    <row r="25" spans="1:44" ht="66.75" customHeight="1" x14ac:dyDescent="0.25">
      <c r="A25" s="76" t="s">
        <v>501</v>
      </c>
      <c r="B25" s="76" t="s">
        <v>501</v>
      </c>
      <c r="C25" s="76" t="s">
        <v>584</v>
      </c>
      <c r="D25" s="76" t="s">
        <v>338</v>
      </c>
      <c r="E25" s="76" t="s">
        <v>338</v>
      </c>
      <c r="F25" s="76" t="s">
        <v>337</v>
      </c>
      <c r="G25" s="82" t="s">
        <v>510</v>
      </c>
      <c r="H25" s="76" t="s">
        <v>95</v>
      </c>
      <c r="I25" s="78" t="s">
        <v>539</v>
      </c>
      <c r="J25" s="78" t="s">
        <v>536</v>
      </c>
      <c r="K25" s="78" t="s">
        <v>539</v>
      </c>
      <c r="L25" s="76" t="s">
        <v>96</v>
      </c>
      <c r="M25" s="79">
        <v>2303</v>
      </c>
      <c r="N25" s="79">
        <v>345.45</v>
      </c>
      <c r="O25" s="79">
        <v>197.4</v>
      </c>
      <c r="P25" s="79">
        <v>189.17</v>
      </c>
      <c r="Q25" s="79">
        <v>732.02</v>
      </c>
      <c r="R25" s="79">
        <v>3035.03</v>
      </c>
      <c r="S25" s="79" t="s">
        <v>96</v>
      </c>
      <c r="T25" s="79">
        <v>2706.03</v>
      </c>
      <c r="U25" s="80">
        <v>1974</v>
      </c>
      <c r="V25" s="79">
        <v>14</v>
      </c>
      <c r="W25" s="79">
        <v>18.45</v>
      </c>
      <c r="X25" s="76" t="s">
        <v>96</v>
      </c>
      <c r="Y25" s="76" t="s">
        <v>345</v>
      </c>
      <c r="Z25" s="76" t="s">
        <v>346</v>
      </c>
      <c r="AA25" s="76" t="s">
        <v>347</v>
      </c>
      <c r="AB25" s="76" t="s">
        <v>348</v>
      </c>
      <c r="AC25" s="76" t="s">
        <v>96</v>
      </c>
      <c r="AD25" s="76" t="s">
        <v>96</v>
      </c>
      <c r="AE25" s="76" t="s">
        <v>96</v>
      </c>
      <c r="AF25" s="78" t="s">
        <v>96</v>
      </c>
      <c r="AG25" s="76" t="s">
        <v>304</v>
      </c>
      <c r="AH25" s="76" t="s">
        <v>96</v>
      </c>
      <c r="AI25" s="76" t="s">
        <v>96</v>
      </c>
      <c r="AJ25" s="76" t="s">
        <v>96</v>
      </c>
      <c r="AK25" s="79" t="s">
        <v>96</v>
      </c>
      <c r="AL25" s="76" t="s">
        <v>96</v>
      </c>
      <c r="AM25" s="76" t="s">
        <v>96</v>
      </c>
      <c r="AN25" s="76" t="s">
        <v>585</v>
      </c>
      <c r="AO25" s="76" t="s">
        <v>235</v>
      </c>
      <c r="AP25" s="81" t="s">
        <v>582</v>
      </c>
      <c r="AQ25" s="76" t="s">
        <v>583</v>
      </c>
      <c r="AR25" s="78" t="s">
        <v>509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8"/>
  <sheetViews>
    <sheetView workbookViewId="0"/>
  </sheetViews>
  <sheetFormatPr defaultRowHeight="15" x14ac:dyDescent="0.25"/>
  <cols>
    <col min="1" max="1" width="28" customWidth="1"/>
    <col min="2" max="2" width="77.5703125" customWidth="1"/>
    <col min="3" max="3" width="14" customWidth="1"/>
    <col min="4" max="4" width="80" customWidth="1"/>
  </cols>
  <sheetData>
    <row r="1" spans="1:4" x14ac:dyDescent="0.25">
      <c r="A1" s="84" t="s">
        <v>586</v>
      </c>
      <c r="B1" s="84" t="s">
        <v>587</v>
      </c>
      <c r="C1" s="84"/>
      <c r="D1" s="84"/>
    </row>
    <row r="2" spans="1:4" x14ac:dyDescent="0.25">
      <c r="A2" s="76" t="s">
        <v>588</v>
      </c>
      <c r="B2" s="76" t="s">
        <v>509</v>
      </c>
      <c r="C2" s="76"/>
      <c r="D2" s="76"/>
    </row>
    <row r="3" spans="1:4" x14ac:dyDescent="0.25">
      <c r="A3" s="76" t="s">
        <v>589</v>
      </c>
      <c r="B3" s="76" t="s">
        <v>590</v>
      </c>
      <c r="C3" s="76"/>
      <c r="D3" s="76"/>
    </row>
    <row r="4" spans="1:4" x14ac:dyDescent="0.25">
      <c r="A4" s="76" t="s">
        <v>591</v>
      </c>
      <c r="B4" s="76">
        <v>24</v>
      </c>
      <c r="C4" s="76"/>
      <c r="D4" s="76"/>
    </row>
    <row r="5" spans="1:4" ht="30" customHeight="1" x14ac:dyDescent="0.25">
      <c r="A5" s="76" t="s">
        <v>592</v>
      </c>
      <c r="B5" s="76" t="s">
        <v>593</v>
      </c>
      <c r="C5" s="76"/>
      <c r="D5" s="76"/>
    </row>
    <row r="6" spans="1:4" ht="45" customHeight="1" x14ac:dyDescent="0.25">
      <c r="A6" s="76" t="s">
        <v>594</v>
      </c>
      <c r="B6" s="76" t="s">
        <v>595</v>
      </c>
      <c r="C6" s="76"/>
      <c r="D6" s="76"/>
    </row>
    <row r="7" spans="1:4" ht="30" customHeight="1" x14ac:dyDescent="0.25">
      <c r="A7" s="76" t="s">
        <v>596</v>
      </c>
      <c r="B7" s="76">
        <v>7</v>
      </c>
      <c r="C7" s="76"/>
      <c r="D7" s="76"/>
    </row>
    <row r="8" spans="1:4" ht="30" customHeight="1" x14ac:dyDescent="0.25">
      <c r="A8" s="76" t="s">
        <v>597</v>
      </c>
      <c r="B8" s="76" t="s">
        <v>598</v>
      </c>
      <c r="C8" s="76"/>
      <c r="D8" s="76"/>
    </row>
    <row r="9" spans="1:4" ht="30" customHeight="1" x14ac:dyDescent="0.25">
      <c r="A9" s="76" t="s">
        <v>599</v>
      </c>
      <c r="B9" s="76" t="s">
        <v>600</v>
      </c>
      <c r="C9" s="76"/>
      <c r="D9" s="76"/>
    </row>
    <row r="10" spans="1:4" ht="45" customHeight="1" x14ac:dyDescent="0.25">
      <c r="A10" s="76" t="s">
        <v>601</v>
      </c>
      <c r="B10" s="76" t="s">
        <v>602</v>
      </c>
      <c r="C10" s="76"/>
      <c r="D10" s="76"/>
    </row>
    <row r="11" spans="1:4" ht="30" customHeight="1" x14ac:dyDescent="0.25">
      <c r="A11" s="76" t="s">
        <v>603</v>
      </c>
      <c r="B11" s="76" t="s">
        <v>604</v>
      </c>
      <c r="C11" s="76"/>
      <c r="D11" s="76"/>
    </row>
    <row r="12" spans="1:4" x14ac:dyDescent="0.25">
      <c r="A12" s="76"/>
      <c r="B12" s="76"/>
      <c r="C12" s="76"/>
      <c r="D12" s="76"/>
    </row>
    <row r="13" spans="1:4" x14ac:dyDescent="0.25">
      <c r="A13" s="76" t="s">
        <v>605</v>
      </c>
      <c r="B13" s="76" t="s">
        <v>606</v>
      </c>
      <c r="C13" s="76" t="s">
        <v>607</v>
      </c>
      <c r="D13" s="76" t="s">
        <v>608</v>
      </c>
    </row>
    <row r="14" spans="1:4" x14ac:dyDescent="0.25">
      <c r="A14" s="76" t="s">
        <v>609</v>
      </c>
      <c r="B14" s="76">
        <v>24</v>
      </c>
      <c r="C14" s="76">
        <v>13</v>
      </c>
      <c r="D14" s="76" t="s">
        <v>610</v>
      </c>
    </row>
    <row r="15" spans="1:4" x14ac:dyDescent="0.25">
      <c r="A15" s="76" t="s">
        <v>583</v>
      </c>
      <c r="B15" s="76">
        <v>24</v>
      </c>
      <c r="C15" s="76">
        <v>64</v>
      </c>
      <c r="D15" s="76" t="s">
        <v>611</v>
      </c>
    </row>
    <row r="16" spans="1:4" ht="30" customHeight="1" x14ac:dyDescent="0.25">
      <c r="A16" s="76" t="s">
        <v>612</v>
      </c>
      <c r="B16" s="76">
        <v>15</v>
      </c>
      <c r="C16" s="76">
        <v>60</v>
      </c>
      <c r="D16" s="76" t="s">
        <v>613</v>
      </c>
    </row>
    <row r="17" spans="1:4" x14ac:dyDescent="0.25">
      <c r="A17" s="76" t="s">
        <v>614</v>
      </c>
      <c r="B17" s="76">
        <v>24</v>
      </c>
      <c r="C17" s="76">
        <v>13</v>
      </c>
      <c r="D17" s="76" t="s">
        <v>615</v>
      </c>
    </row>
    <row r="18" spans="1:4" x14ac:dyDescent="0.25">
      <c r="A18" s="76" t="s">
        <v>616</v>
      </c>
      <c r="B18" s="76">
        <v>20</v>
      </c>
      <c r="C18" s="76">
        <v>74</v>
      </c>
      <c r="D18" s="76" t="s">
        <v>617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4"/>
  <sheetViews>
    <sheetView workbookViewId="0"/>
  </sheetViews>
  <sheetFormatPr defaultColWidth="18.7109375" defaultRowHeight="12.75" x14ac:dyDescent="0.2"/>
  <cols>
    <col min="1" max="1" width="8.5703125" style="7" customWidth="1"/>
    <col min="2" max="2" width="19.42578125" style="2" customWidth="1"/>
    <col min="3" max="3" width="6.7109375" style="7" customWidth="1"/>
    <col min="4" max="4" width="34.28515625" style="2" customWidth="1"/>
    <col min="5" max="5" width="28" style="2" customWidth="1"/>
    <col min="6" max="6" width="20.85546875" style="2" customWidth="1"/>
    <col min="7" max="7" width="16.7109375" style="2" customWidth="1"/>
    <col min="8" max="8" width="33.28515625" style="2" customWidth="1"/>
    <col min="9" max="9" width="31.28515625" style="2" customWidth="1"/>
    <col min="10" max="10" width="27.28515625" style="2" customWidth="1"/>
    <col min="11" max="11" width="23.5703125" style="2" customWidth="1"/>
    <col min="12" max="12" width="23.42578125" style="2" customWidth="1"/>
    <col min="13" max="13" width="24.42578125" style="2" customWidth="1"/>
    <col min="14" max="15" width="18.7109375" style="2" customWidth="1"/>
    <col min="16" max="16384" width="18.7109375" style="2"/>
  </cols>
  <sheetData>
    <row r="1" spans="1:13" ht="42" customHeight="1" x14ac:dyDescent="0.2">
      <c r="A1" s="1" t="s">
        <v>618</v>
      </c>
      <c r="B1" s="1" t="s">
        <v>619</v>
      </c>
      <c r="C1" s="1" t="s">
        <v>462</v>
      </c>
      <c r="D1" s="1" t="s">
        <v>620</v>
      </c>
      <c r="E1" s="1" t="s">
        <v>621</v>
      </c>
      <c r="F1" s="1" t="s">
        <v>622</v>
      </c>
      <c r="G1" s="1" t="s">
        <v>623</v>
      </c>
      <c r="H1" s="1" t="s">
        <v>624</v>
      </c>
      <c r="I1" s="1" t="s">
        <v>625</v>
      </c>
      <c r="J1" s="1" t="s">
        <v>626</v>
      </c>
      <c r="K1" s="1" t="s">
        <v>627</v>
      </c>
      <c r="L1" s="1" t="s">
        <v>628</v>
      </c>
      <c r="M1" s="1" t="s">
        <v>629</v>
      </c>
    </row>
    <row r="2" spans="1:13" ht="42" customHeight="1" x14ac:dyDescent="0.2">
      <c r="A2" s="3" t="s">
        <v>135</v>
      </c>
      <c r="B2" s="4" t="s">
        <v>502</v>
      </c>
      <c r="C2" s="5">
        <v>9928</v>
      </c>
      <c r="D2" s="4" t="s">
        <v>238</v>
      </c>
      <c r="E2" s="4" t="s">
        <v>239</v>
      </c>
      <c r="F2" s="4" t="s">
        <v>237</v>
      </c>
      <c r="G2" s="6">
        <v>17494.37</v>
      </c>
      <c r="H2" s="4" t="s">
        <v>505</v>
      </c>
      <c r="I2" s="4" t="s">
        <v>240</v>
      </c>
      <c r="J2" s="4" t="s">
        <v>241</v>
      </c>
      <c r="K2" s="4" t="s">
        <v>242</v>
      </c>
      <c r="L2" s="4" t="s">
        <v>244</v>
      </c>
      <c r="M2" s="4"/>
    </row>
    <row r="3" spans="1:13" ht="42" customHeight="1" x14ac:dyDescent="0.2">
      <c r="A3" s="3">
        <v>105</v>
      </c>
      <c r="B3" s="4" t="s">
        <v>251</v>
      </c>
      <c r="C3" s="5">
        <v>2222</v>
      </c>
      <c r="D3" s="4" t="s">
        <v>257</v>
      </c>
      <c r="E3" s="4" t="s">
        <v>258</v>
      </c>
      <c r="F3" s="4" t="s">
        <v>256</v>
      </c>
      <c r="G3" s="6">
        <v>3231.16</v>
      </c>
      <c r="H3" s="4" t="s">
        <v>505</v>
      </c>
      <c r="I3" s="4" t="s">
        <v>259</v>
      </c>
      <c r="J3" s="4" t="s">
        <v>260</v>
      </c>
      <c r="K3" s="4" t="s">
        <v>261</v>
      </c>
      <c r="L3" s="4" t="s">
        <v>244</v>
      </c>
      <c r="M3" s="4"/>
    </row>
    <row r="4" spans="1:13" ht="42" customHeight="1" x14ac:dyDescent="0.2">
      <c r="A4" s="3">
        <v>107</v>
      </c>
      <c r="B4" s="4" t="s">
        <v>266</v>
      </c>
      <c r="C4" s="5">
        <v>1743</v>
      </c>
      <c r="D4" s="4" t="s">
        <v>270</v>
      </c>
      <c r="E4" s="4" t="s">
        <v>271</v>
      </c>
      <c r="F4" s="4" t="s">
        <v>269</v>
      </c>
      <c r="G4" s="6">
        <v>1561.43</v>
      </c>
      <c r="H4" s="4" t="s">
        <v>505</v>
      </c>
      <c r="I4" s="4" t="s">
        <v>272</v>
      </c>
      <c r="J4" s="4" t="s">
        <v>260</v>
      </c>
      <c r="K4" s="4" t="s">
        <v>273</v>
      </c>
      <c r="L4" s="4" t="s">
        <v>244</v>
      </c>
      <c r="M4" s="4"/>
    </row>
    <row r="5" spans="1:13" ht="42" customHeight="1" x14ac:dyDescent="0.2">
      <c r="A5" s="3">
        <v>109</v>
      </c>
      <c r="B5" s="4" t="s">
        <v>278</v>
      </c>
      <c r="C5" s="5">
        <v>2546</v>
      </c>
      <c r="D5" s="4" t="s">
        <v>282</v>
      </c>
      <c r="E5" s="4" t="s">
        <v>283</v>
      </c>
      <c r="F5" s="4" t="s">
        <v>281</v>
      </c>
      <c r="G5" s="6">
        <v>3808.39</v>
      </c>
      <c r="H5" s="4" t="s">
        <v>505</v>
      </c>
      <c r="I5" s="4" t="s">
        <v>259</v>
      </c>
      <c r="J5" s="4" t="s">
        <v>260</v>
      </c>
      <c r="K5" s="4" t="s">
        <v>261</v>
      </c>
      <c r="L5" s="4" t="s">
        <v>244</v>
      </c>
      <c r="M5" s="4"/>
    </row>
    <row r="6" spans="1:13" ht="42" customHeight="1" x14ac:dyDescent="0.2">
      <c r="A6" s="3">
        <v>111</v>
      </c>
      <c r="B6" s="4" t="s">
        <v>288</v>
      </c>
      <c r="C6" s="5">
        <v>1690</v>
      </c>
      <c r="D6" s="4" t="s">
        <v>292</v>
      </c>
      <c r="E6" s="4" t="s">
        <v>293</v>
      </c>
      <c r="F6" s="4" t="s">
        <v>291</v>
      </c>
      <c r="G6" s="6">
        <v>2605.42</v>
      </c>
      <c r="H6" s="4" t="s">
        <v>505</v>
      </c>
      <c r="I6" s="4" t="s">
        <v>259</v>
      </c>
      <c r="J6" s="4" t="s">
        <v>260</v>
      </c>
      <c r="K6" s="4" t="s">
        <v>261</v>
      </c>
      <c r="L6" s="4" t="s">
        <v>244</v>
      </c>
      <c r="M6" s="4"/>
    </row>
    <row r="7" spans="1:13" ht="42" customHeight="1" x14ac:dyDescent="0.2">
      <c r="A7" s="3">
        <v>113</v>
      </c>
      <c r="B7" s="4" t="s">
        <v>299</v>
      </c>
      <c r="C7" s="5">
        <v>2606</v>
      </c>
      <c r="D7" s="4" t="s">
        <v>303</v>
      </c>
      <c r="E7" s="4"/>
      <c r="F7" s="4"/>
      <c r="G7" s="6"/>
      <c r="H7" s="4" t="s">
        <v>505</v>
      </c>
      <c r="I7" s="4"/>
      <c r="J7" s="4"/>
      <c r="K7" s="4"/>
      <c r="L7" s="4"/>
      <c r="M7" s="4"/>
    </row>
    <row r="8" spans="1:13" ht="42" customHeight="1" x14ac:dyDescent="0.2">
      <c r="A8" s="3" t="s">
        <v>148</v>
      </c>
      <c r="B8" s="4" t="s">
        <v>309</v>
      </c>
      <c r="C8" s="5">
        <v>4340</v>
      </c>
      <c r="D8" s="4" t="s">
        <v>313</v>
      </c>
      <c r="E8" s="4" t="s">
        <v>283</v>
      </c>
      <c r="F8" s="4" t="s">
        <v>312</v>
      </c>
      <c r="G8" s="6">
        <v>6690.83</v>
      </c>
      <c r="H8" s="4" t="s">
        <v>505</v>
      </c>
      <c r="I8" s="4" t="s">
        <v>272</v>
      </c>
      <c r="J8" s="4" t="s">
        <v>260</v>
      </c>
      <c r="K8" s="4" t="s">
        <v>314</v>
      </c>
      <c r="L8" s="4" t="s">
        <v>244</v>
      </c>
      <c r="M8" s="4"/>
    </row>
    <row r="9" spans="1:13" ht="42" customHeight="1" x14ac:dyDescent="0.2">
      <c r="A9" s="3">
        <v>117.5</v>
      </c>
      <c r="B9" s="4" t="s">
        <v>321</v>
      </c>
      <c r="C9" s="5">
        <v>1769</v>
      </c>
      <c r="D9" s="4" t="s">
        <v>322</v>
      </c>
      <c r="E9" s="4" t="s">
        <v>516</v>
      </c>
      <c r="F9" s="4"/>
      <c r="G9" s="4"/>
      <c r="H9" s="4" t="s">
        <v>505</v>
      </c>
      <c r="I9" s="4"/>
      <c r="J9" s="4"/>
      <c r="K9" s="4"/>
      <c r="L9" s="4" t="s">
        <v>244</v>
      </c>
      <c r="M9" s="4"/>
    </row>
    <row r="10" spans="1:13" ht="42" customHeight="1" x14ac:dyDescent="0.2">
      <c r="A10" s="3">
        <v>119</v>
      </c>
      <c r="B10" s="4" t="s">
        <v>327</v>
      </c>
      <c r="C10" s="5">
        <v>1982</v>
      </c>
      <c r="D10" s="4" t="s">
        <v>330</v>
      </c>
      <c r="E10" s="4" t="s">
        <v>516</v>
      </c>
      <c r="F10" s="4" t="s">
        <v>329</v>
      </c>
      <c r="G10" s="6">
        <v>2890.42</v>
      </c>
      <c r="H10" s="4" t="s">
        <v>332</v>
      </c>
      <c r="I10" s="4" t="s">
        <v>331</v>
      </c>
      <c r="J10" s="4" t="s">
        <v>260</v>
      </c>
      <c r="K10" s="4" t="s">
        <v>261</v>
      </c>
      <c r="L10" s="4" t="s">
        <v>244</v>
      </c>
      <c r="M10" s="4"/>
    </row>
    <row r="11" spans="1:13" ht="42" customHeight="1" x14ac:dyDescent="0.2">
      <c r="A11" s="3">
        <v>119.5</v>
      </c>
      <c r="B11" s="4" t="s">
        <v>337</v>
      </c>
      <c r="C11" s="5">
        <v>1974</v>
      </c>
      <c r="D11" s="4" t="s">
        <v>342</v>
      </c>
      <c r="E11" s="4" t="s">
        <v>343</v>
      </c>
      <c r="F11" s="4" t="s">
        <v>341</v>
      </c>
      <c r="G11" s="6">
        <v>3035.03</v>
      </c>
      <c r="H11" s="4" t="s">
        <v>344</v>
      </c>
      <c r="I11" s="4" t="s">
        <v>259</v>
      </c>
      <c r="J11" s="4" t="s">
        <v>260</v>
      </c>
      <c r="K11" s="4" t="s">
        <v>261</v>
      </c>
      <c r="L11" s="4" t="s">
        <v>244</v>
      </c>
      <c r="M11" s="4"/>
    </row>
    <row r="12" spans="1:13" ht="42" customHeight="1" x14ac:dyDescent="0.2">
      <c r="A12" s="3">
        <v>121</v>
      </c>
      <c r="B12" s="4" t="s">
        <v>349</v>
      </c>
      <c r="C12" s="5">
        <v>1709</v>
      </c>
      <c r="D12" s="4" t="s">
        <v>353</v>
      </c>
      <c r="E12" s="4" t="s">
        <v>516</v>
      </c>
      <c r="F12" s="4" t="s">
        <v>352</v>
      </c>
      <c r="G12" s="6">
        <v>2741.52</v>
      </c>
      <c r="H12" s="4" t="s">
        <v>505</v>
      </c>
      <c r="I12" s="4" t="s">
        <v>331</v>
      </c>
      <c r="J12" s="4" t="s">
        <v>260</v>
      </c>
      <c r="K12" s="4" t="s">
        <v>261</v>
      </c>
      <c r="L12" s="4" t="s">
        <v>244</v>
      </c>
      <c r="M12" s="4"/>
    </row>
    <row r="13" spans="1:13" ht="42" customHeight="1" x14ac:dyDescent="0.2">
      <c r="A13" s="3">
        <v>123</v>
      </c>
      <c r="B13" s="4" t="s">
        <v>546</v>
      </c>
      <c r="C13" s="5">
        <v>3563</v>
      </c>
      <c r="D13" s="4" t="s">
        <v>362</v>
      </c>
      <c r="E13" s="4" t="s">
        <v>516</v>
      </c>
      <c r="F13" s="4" t="s">
        <v>361</v>
      </c>
      <c r="G13" s="6">
        <v>5492.96</v>
      </c>
      <c r="H13" s="4" t="s">
        <v>505</v>
      </c>
      <c r="I13" s="4" t="s">
        <v>331</v>
      </c>
      <c r="J13" s="4" t="s">
        <v>260</v>
      </c>
      <c r="K13" s="4" t="s">
        <v>261</v>
      </c>
      <c r="L13" s="4" t="s">
        <v>244</v>
      </c>
      <c r="M13" s="4"/>
    </row>
    <row r="14" spans="1:13" ht="42" customHeight="1" x14ac:dyDescent="0.2">
      <c r="A14" s="3" t="s">
        <v>153</v>
      </c>
      <c r="B14" s="4" t="s">
        <v>367</v>
      </c>
      <c r="C14" s="5">
        <v>4273</v>
      </c>
      <c r="D14" s="4" t="s">
        <v>370</v>
      </c>
      <c r="E14" s="4" t="s">
        <v>516</v>
      </c>
      <c r="F14" s="4" t="s">
        <v>369</v>
      </c>
      <c r="G14" s="6">
        <v>6587.54</v>
      </c>
      <c r="H14" s="4" t="s">
        <v>505</v>
      </c>
      <c r="I14" s="4" t="s">
        <v>331</v>
      </c>
      <c r="J14" s="4" t="s">
        <v>260</v>
      </c>
      <c r="K14" s="4" t="s">
        <v>371</v>
      </c>
      <c r="L14" s="4" t="s">
        <v>244</v>
      </c>
      <c r="M14" s="4"/>
    </row>
    <row r="15" spans="1:13" ht="42" customHeight="1" x14ac:dyDescent="0.2">
      <c r="A15" s="3">
        <v>129</v>
      </c>
      <c r="B15" s="4" t="s">
        <v>552</v>
      </c>
      <c r="C15" s="5">
        <v>1789</v>
      </c>
      <c r="D15" s="4" t="s">
        <v>380</v>
      </c>
      <c r="E15" s="4" t="s">
        <v>516</v>
      </c>
      <c r="F15" s="4" t="s">
        <v>379</v>
      </c>
      <c r="G15" s="6">
        <v>2832.58</v>
      </c>
      <c r="H15" s="4" t="s">
        <v>505</v>
      </c>
      <c r="I15" s="4" t="s">
        <v>331</v>
      </c>
      <c r="J15" s="4" t="s">
        <v>260</v>
      </c>
      <c r="K15" s="4" t="s">
        <v>371</v>
      </c>
      <c r="L15" s="4" t="s">
        <v>244</v>
      </c>
      <c r="M15" s="4"/>
    </row>
    <row r="16" spans="1:13" ht="42" customHeight="1" x14ac:dyDescent="0.2">
      <c r="A16" s="3" t="s">
        <v>556</v>
      </c>
      <c r="B16" s="4" t="s">
        <v>385</v>
      </c>
      <c r="C16" s="5">
        <v>3179</v>
      </c>
      <c r="D16" s="4"/>
      <c r="E16" s="4"/>
      <c r="F16" s="4"/>
      <c r="G16" s="6"/>
      <c r="H16" s="4" t="s">
        <v>505</v>
      </c>
      <c r="I16" s="4"/>
      <c r="J16" s="4"/>
      <c r="K16" s="4"/>
      <c r="L16" s="4" t="s">
        <v>244</v>
      </c>
      <c r="M16" s="4"/>
    </row>
    <row r="17" spans="1:13" ht="42" customHeight="1" x14ac:dyDescent="0.2">
      <c r="A17" s="3" t="s">
        <v>166</v>
      </c>
      <c r="B17" s="4" t="s">
        <v>392</v>
      </c>
      <c r="C17" s="5">
        <v>1580</v>
      </c>
      <c r="D17" s="4" t="s">
        <v>396</v>
      </c>
      <c r="E17" s="4" t="s">
        <v>516</v>
      </c>
      <c r="F17" s="4" t="s">
        <v>395</v>
      </c>
      <c r="G17" s="6">
        <v>2304.17</v>
      </c>
      <c r="H17" s="4" t="s">
        <v>397</v>
      </c>
      <c r="I17" s="4" t="s">
        <v>331</v>
      </c>
      <c r="J17" s="4" t="s">
        <v>260</v>
      </c>
      <c r="K17" s="4" t="s">
        <v>371</v>
      </c>
      <c r="L17" s="4" t="s">
        <v>244</v>
      </c>
      <c r="M17" s="4"/>
    </row>
    <row r="18" spans="1:13" ht="42" customHeight="1" x14ac:dyDescent="0.2">
      <c r="A18" s="3" t="s">
        <v>402</v>
      </c>
      <c r="B18" s="4" t="s">
        <v>562</v>
      </c>
      <c r="C18" s="5">
        <v>1580</v>
      </c>
      <c r="D18" s="4"/>
      <c r="E18" s="4"/>
      <c r="F18" s="4"/>
      <c r="G18" s="6"/>
      <c r="H18" s="4" t="s">
        <v>505</v>
      </c>
      <c r="I18" s="4"/>
      <c r="J18" s="4"/>
      <c r="K18" s="4"/>
      <c r="L18" s="4" t="s">
        <v>244</v>
      </c>
      <c r="M18" s="4"/>
    </row>
    <row r="19" spans="1:13" ht="42" customHeight="1" x14ac:dyDescent="0.2">
      <c r="A19" s="3">
        <v>137</v>
      </c>
      <c r="B19" s="4" t="s">
        <v>412</v>
      </c>
      <c r="C19" s="5">
        <v>2053</v>
      </c>
      <c r="D19" s="4" t="s">
        <v>415</v>
      </c>
      <c r="E19" s="4" t="s">
        <v>516</v>
      </c>
      <c r="F19" s="4" t="s">
        <v>414</v>
      </c>
      <c r="G19" s="6">
        <v>3062.55</v>
      </c>
      <c r="H19" s="4" t="s">
        <v>505</v>
      </c>
      <c r="I19" s="4" t="s">
        <v>331</v>
      </c>
      <c r="J19" s="4" t="s">
        <v>260</v>
      </c>
      <c r="K19" s="4" t="s">
        <v>261</v>
      </c>
      <c r="L19" s="4" t="s">
        <v>244</v>
      </c>
      <c r="M19" s="4"/>
    </row>
    <row r="20" spans="1:13" ht="42" customHeight="1" x14ac:dyDescent="0.2">
      <c r="A20" s="3" t="s">
        <v>176</v>
      </c>
      <c r="B20" s="4" t="s">
        <v>420</v>
      </c>
      <c r="C20" s="5">
        <v>3834</v>
      </c>
      <c r="D20" s="4" t="s">
        <v>423</v>
      </c>
      <c r="E20" s="4" t="s">
        <v>516</v>
      </c>
      <c r="F20" s="4" t="s">
        <v>422</v>
      </c>
      <c r="G20" s="6">
        <v>5910.75</v>
      </c>
      <c r="H20" s="4" t="s">
        <v>505</v>
      </c>
      <c r="I20" s="4" t="s">
        <v>331</v>
      </c>
      <c r="J20" s="4" t="s">
        <v>260</v>
      </c>
      <c r="K20" s="4" t="s">
        <v>261</v>
      </c>
      <c r="L20" s="4" t="s">
        <v>244</v>
      </c>
      <c r="M20" s="4"/>
    </row>
    <row r="21" spans="1:13" ht="42" customHeight="1" x14ac:dyDescent="0.2">
      <c r="A21" s="3">
        <v>143</v>
      </c>
      <c r="B21" s="4" t="s">
        <v>429</v>
      </c>
      <c r="C21" s="5">
        <v>1917</v>
      </c>
      <c r="D21" s="4" t="s">
        <v>432</v>
      </c>
      <c r="E21" s="4" t="s">
        <v>516</v>
      </c>
      <c r="F21" s="4" t="s">
        <v>431</v>
      </c>
      <c r="G21" s="6">
        <v>3187.01</v>
      </c>
      <c r="H21" s="4" t="s">
        <v>505</v>
      </c>
      <c r="I21" s="4" t="s">
        <v>331</v>
      </c>
      <c r="J21" s="4" t="s">
        <v>260</v>
      </c>
      <c r="K21" s="4" t="s">
        <v>261</v>
      </c>
      <c r="L21" s="4" t="s">
        <v>244</v>
      </c>
      <c r="M21" s="4"/>
    </row>
    <row r="22" spans="1:13" ht="42" customHeight="1" x14ac:dyDescent="0.2">
      <c r="A22" s="3">
        <v>145</v>
      </c>
      <c r="B22" s="4" t="s">
        <v>385</v>
      </c>
      <c r="C22" s="5">
        <v>1917</v>
      </c>
      <c r="D22" s="4"/>
      <c r="E22" s="4"/>
      <c r="F22" s="4"/>
      <c r="G22" s="6"/>
      <c r="H22" s="4" t="s">
        <v>505</v>
      </c>
      <c r="I22" s="4"/>
      <c r="J22" s="4"/>
      <c r="K22" s="4"/>
      <c r="L22" s="4" t="s">
        <v>244</v>
      </c>
      <c r="M22" s="4"/>
    </row>
    <row r="23" spans="1:13" ht="42" customHeight="1" x14ac:dyDescent="0.2">
      <c r="A23" s="3">
        <v>149</v>
      </c>
      <c r="B23" s="4" t="s">
        <v>443</v>
      </c>
      <c r="C23" s="5">
        <v>4613</v>
      </c>
      <c r="D23" s="4" t="s">
        <v>447</v>
      </c>
      <c r="E23" s="4" t="s">
        <v>630</v>
      </c>
      <c r="F23" s="4" t="s">
        <v>446</v>
      </c>
      <c r="G23" s="6">
        <v>11404.13</v>
      </c>
      <c r="H23" s="4" t="s">
        <v>505</v>
      </c>
      <c r="I23" s="4" t="s">
        <v>331</v>
      </c>
      <c r="J23" s="4" t="s">
        <v>260</v>
      </c>
      <c r="K23" s="4" t="s">
        <v>261</v>
      </c>
      <c r="L23" s="4" t="s">
        <v>244</v>
      </c>
      <c r="M23" s="4"/>
    </row>
    <row r="24" spans="1:13" ht="42" customHeight="1" x14ac:dyDescent="0.2">
      <c r="C24" s="8">
        <f>SUM(C2:C23)</f>
        <v>62807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1000"/>
  <sheetViews>
    <sheetView showGridLines="0" workbookViewId="0"/>
  </sheetViews>
  <sheetFormatPr defaultColWidth="12.5703125" defaultRowHeight="13.5" x14ac:dyDescent="0.25"/>
  <cols>
    <col min="1" max="1" width="11.85546875" style="9" customWidth="1"/>
    <col min="2" max="2" width="32.42578125" style="9" customWidth="1"/>
    <col min="3" max="3" width="31.140625" style="9" customWidth="1"/>
    <col min="4" max="4" width="19.140625" style="9" customWidth="1"/>
    <col min="5" max="25" width="11.85546875" style="9" customWidth="1"/>
    <col min="26" max="26" width="17.7109375" style="9" customWidth="1"/>
    <col min="27" max="27" width="11.85546875" style="9" customWidth="1"/>
    <col min="28" max="28" width="9.85546875" style="9" customWidth="1"/>
    <col min="29" max="29" width="28.42578125" style="9" customWidth="1"/>
    <col min="30" max="30" width="23.28515625" style="9" customWidth="1"/>
    <col min="31" max="31" width="23.7109375" style="9" customWidth="1"/>
    <col min="32" max="32" width="68" style="9" customWidth="1"/>
    <col min="33" max="62" width="11.85546875" style="9" customWidth="1"/>
    <col min="63" max="63" width="18.42578125" style="9" customWidth="1"/>
    <col min="64" max="64" width="17.7109375" style="9" customWidth="1"/>
    <col min="65" max="66" width="12.5703125" style="9" customWidth="1"/>
    <col min="67" max="16384" width="12.5703125" style="9"/>
  </cols>
  <sheetData>
    <row r="1" spans="1:64" ht="60.75" customHeight="1" x14ac:dyDescent="0.25">
      <c r="A1" s="70" t="s">
        <v>631</v>
      </c>
      <c r="B1" s="70" t="s">
        <v>632</v>
      </c>
      <c r="C1" s="72" t="s">
        <v>633</v>
      </c>
      <c r="D1" s="70" t="s">
        <v>634</v>
      </c>
      <c r="E1" s="70" t="s">
        <v>635</v>
      </c>
      <c r="F1" s="70" t="s">
        <v>636</v>
      </c>
      <c r="G1" s="70" t="s">
        <v>637</v>
      </c>
      <c r="H1" s="70" t="s">
        <v>638</v>
      </c>
      <c r="I1" s="70" t="s">
        <v>631</v>
      </c>
      <c r="J1" s="63" t="s">
        <v>639</v>
      </c>
      <c r="K1" s="71" t="s">
        <v>640</v>
      </c>
      <c r="L1" s="70" t="s">
        <v>641</v>
      </c>
      <c r="M1" s="70" t="s">
        <v>642</v>
      </c>
      <c r="N1" s="70" t="s">
        <v>643</v>
      </c>
      <c r="O1" s="69" t="s">
        <v>644</v>
      </c>
      <c r="P1" s="68" t="s">
        <v>645</v>
      </c>
      <c r="Q1" s="68" t="s">
        <v>646</v>
      </c>
      <c r="R1" s="68" t="s">
        <v>647</v>
      </c>
      <c r="S1" s="68" t="s">
        <v>648</v>
      </c>
      <c r="T1" s="67" t="s">
        <v>649</v>
      </c>
      <c r="U1" s="67" t="s">
        <v>650</v>
      </c>
      <c r="V1" s="67" t="s">
        <v>651</v>
      </c>
      <c r="W1" s="67" t="s">
        <v>652</v>
      </c>
      <c r="X1" s="66" t="s">
        <v>653</v>
      </c>
      <c r="Y1" s="66" t="s">
        <v>654</v>
      </c>
      <c r="Z1" s="65" t="s">
        <v>655</v>
      </c>
      <c r="AA1" s="64" t="s">
        <v>656</v>
      </c>
      <c r="AB1" s="61" t="s">
        <v>657</v>
      </c>
      <c r="AC1" s="63" t="s">
        <v>658</v>
      </c>
      <c r="AD1" s="63" t="s">
        <v>659</v>
      </c>
      <c r="AE1" s="62" t="s">
        <v>660</v>
      </c>
      <c r="AF1" s="62" t="s">
        <v>661</v>
      </c>
      <c r="AG1" s="62" t="s">
        <v>662</v>
      </c>
      <c r="AH1" s="62" t="s">
        <v>663</v>
      </c>
      <c r="AI1" s="62" t="s">
        <v>664</v>
      </c>
      <c r="AJ1" s="62" t="s">
        <v>665</v>
      </c>
      <c r="AK1" s="62" t="s">
        <v>666</v>
      </c>
      <c r="AL1" s="62" t="s">
        <v>667</v>
      </c>
      <c r="AM1" s="62" t="s">
        <v>668</v>
      </c>
      <c r="AN1" s="62" t="s">
        <v>669</v>
      </c>
      <c r="AO1" s="62" t="s">
        <v>670</v>
      </c>
      <c r="AP1" s="63" t="s">
        <v>671</v>
      </c>
      <c r="AQ1" s="63" t="s">
        <v>672</v>
      </c>
      <c r="AR1" s="63" t="s">
        <v>673</v>
      </c>
      <c r="AS1" s="62" t="s">
        <v>674</v>
      </c>
      <c r="AT1" s="62" t="s">
        <v>675</v>
      </c>
      <c r="AU1" s="62" t="s">
        <v>676</v>
      </c>
      <c r="AV1" s="62" t="s">
        <v>677</v>
      </c>
      <c r="AW1" s="62" t="s">
        <v>678</v>
      </c>
      <c r="AX1" s="62" t="s">
        <v>679</v>
      </c>
      <c r="AY1" s="62" t="s">
        <v>680</v>
      </c>
      <c r="AZ1" s="62" t="s">
        <v>681</v>
      </c>
      <c r="BA1" s="62" t="s">
        <v>682</v>
      </c>
      <c r="BB1" s="62" t="s">
        <v>683</v>
      </c>
      <c r="BC1" s="62" t="s">
        <v>684</v>
      </c>
      <c r="BD1" s="62" t="s">
        <v>685</v>
      </c>
      <c r="BE1" s="62" t="s">
        <v>686</v>
      </c>
      <c r="BF1" s="62" t="s">
        <v>687</v>
      </c>
      <c r="BG1" s="62" t="s">
        <v>688</v>
      </c>
      <c r="BH1" s="62" t="s">
        <v>689</v>
      </c>
      <c r="BI1" s="62" t="s">
        <v>690</v>
      </c>
      <c r="BJ1" s="62" t="s">
        <v>691</v>
      </c>
      <c r="BK1" s="61" t="s">
        <v>692</v>
      </c>
      <c r="BL1" s="60" t="s">
        <v>655</v>
      </c>
    </row>
    <row r="2" spans="1:64" ht="19.5" customHeight="1" x14ac:dyDescent="0.25">
      <c r="A2" s="35" t="s">
        <v>135</v>
      </c>
      <c r="B2" s="35" t="s">
        <v>501</v>
      </c>
      <c r="C2" s="35" t="s">
        <v>693</v>
      </c>
      <c r="D2" s="43" t="s">
        <v>248</v>
      </c>
      <c r="E2" s="35" t="s">
        <v>694</v>
      </c>
      <c r="F2" s="35" t="s">
        <v>695</v>
      </c>
      <c r="G2" s="56">
        <v>70506</v>
      </c>
      <c r="H2" s="35" t="s">
        <v>696</v>
      </c>
      <c r="I2" s="35" t="s">
        <v>135</v>
      </c>
      <c r="J2" s="56">
        <v>9928</v>
      </c>
      <c r="K2" s="42">
        <v>16008.9</v>
      </c>
      <c r="L2" s="41">
        <v>44652</v>
      </c>
      <c r="M2" s="41">
        <v>46446</v>
      </c>
      <c r="N2" s="35" t="s">
        <v>697</v>
      </c>
      <c r="O2" s="40">
        <v>12699.57</v>
      </c>
      <c r="P2" s="39">
        <v>1737.4</v>
      </c>
      <c r="Q2" s="39">
        <v>744.6</v>
      </c>
      <c r="R2" s="39">
        <v>827.33333333333337</v>
      </c>
      <c r="S2" s="39">
        <f t="shared" ref="S2:S24" si="0">SUM(O2:R2)</f>
        <v>16008.903333333334</v>
      </c>
      <c r="T2" s="38">
        <v>15.35</v>
      </c>
      <c r="U2" s="38">
        <v>2.1</v>
      </c>
      <c r="V2" s="38">
        <v>0.9</v>
      </c>
      <c r="W2" s="38">
        <v>1</v>
      </c>
      <c r="X2" s="38">
        <f>SUM(T2:W2)</f>
        <v>19.349999999999998</v>
      </c>
      <c r="Y2" s="38">
        <f t="shared" ref="Y2:Y24" si="1">J2*X2/12</f>
        <v>16008.9</v>
      </c>
      <c r="Z2" s="37">
        <v>12699.57</v>
      </c>
      <c r="AA2" s="33" t="s">
        <v>698</v>
      </c>
      <c r="AB2" s="33" t="s">
        <v>699</v>
      </c>
      <c r="AC2" s="56" t="s">
        <v>246</v>
      </c>
      <c r="AD2" s="35" t="s">
        <v>247</v>
      </c>
      <c r="AE2" s="33" t="s">
        <v>233</v>
      </c>
      <c r="AF2" s="33" t="s">
        <v>700</v>
      </c>
      <c r="AG2" s="33"/>
      <c r="AH2" s="33"/>
      <c r="AI2" s="33"/>
      <c r="AJ2" s="33"/>
      <c r="AK2" s="33"/>
      <c r="AL2" s="34"/>
      <c r="AM2" s="33"/>
      <c r="AN2" s="33"/>
      <c r="AO2" s="33"/>
      <c r="AP2" s="35"/>
      <c r="AQ2" s="35"/>
      <c r="AR2" s="35"/>
      <c r="AS2" s="34"/>
      <c r="AT2" s="34"/>
      <c r="AU2" s="34"/>
      <c r="AV2" s="34"/>
      <c r="AW2" s="34"/>
      <c r="AX2" s="34"/>
      <c r="AY2" s="34"/>
      <c r="AZ2" s="34"/>
      <c r="BA2" s="34"/>
      <c r="BB2" s="34"/>
      <c r="BC2" s="34"/>
      <c r="BD2" s="34"/>
      <c r="BE2" s="34"/>
      <c r="BF2" s="34"/>
      <c r="BG2" s="34"/>
      <c r="BH2" s="34"/>
      <c r="BI2" s="34"/>
      <c r="BJ2" s="34"/>
      <c r="BK2" s="33" t="s">
        <v>304</v>
      </c>
      <c r="BL2" s="32">
        <v>12699.57</v>
      </c>
    </row>
    <row r="3" spans="1:64" ht="19.5" customHeight="1" x14ac:dyDescent="0.25">
      <c r="A3" s="35" t="s">
        <v>89</v>
      </c>
      <c r="B3" s="35" t="s">
        <v>501</v>
      </c>
      <c r="C3" s="35" t="s">
        <v>693</v>
      </c>
      <c r="D3" s="43" t="s">
        <v>265</v>
      </c>
      <c r="E3" s="35" t="s">
        <v>694</v>
      </c>
      <c r="F3" s="35" t="s">
        <v>695</v>
      </c>
      <c r="G3" s="35">
        <v>70506</v>
      </c>
      <c r="H3" s="35" t="s">
        <v>696</v>
      </c>
      <c r="I3" s="35" t="s">
        <v>89</v>
      </c>
      <c r="J3" s="35">
        <v>2222</v>
      </c>
      <c r="K3" s="42">
        <v>3231.16</v>
      </c>
      <c r="L3" s="59">
        <v>44866</v>
      </c>
      <c r="M3" s="41">
        <v>46112</v>
      </c>
      <c r="N3" s="35" t="s">
        <v>697</v>
      </c>
      <c r="O3" s="40">
        <v>2499.75</v>
      </c>
      <c r="P3" s="39">
        <v>388.85</v>
      </c>
      <c r="Q3" s="39">
        <v>157.39166666666671</v>
      </c>
      <c r="R3" s="39">
        <v>185.16666666666671</v>
      </c>
      <c r="S3" s="39">
        <f t="shared" si="0"/>
        <v>3231.1583333333333</v>
      </c>
      <c r="T3" s="38">
        <v>13.5</v>
      </c>
      <c r="U3" s="38">
        <v>2.1</v>
      </c>
      <c r="V3" s="38">
        <v>0.85</v>
      </c>
      <c r="W3" s="38">
        <v>1</v>
      </c>
      <c r="X3" s="38">
        <v>17.45</v>
      </c>
      <c r="Y3" s="38">
        <f t="shared" si="1"/>
        <v>3231.1583333333333</v>
      </c>
      <c r="Z3" s="37">
        <v>2499.75</v>
      </c>
      <c r="AA3" s="57" t="s">
        <v>701</v>
      </c>
      <c r="AB3" s="57" t="s">
        <v>702</v>
      </c>
      <c r="AC3" s="35" t="s">
        <v>703</v>
      </c>
      <c r="AD3" s="58" t="s">
        <v>264</v>
      </c>
      <c r="AE3" s="57" t="s">
        <v>252</v>
      </c>
      <c r="AF3" s="57" t="s">
        <v>704</v>
      </c>
      <c r="AG3" s="57"/>
      <c r="AH3" s="57"/>
      <c r="AI3" s="57"/>
      <c r="AJ3" s="57"/>
      <c r="AK3" s="57"/>
      <c r="AL3" s="34"/>
      <c r="AM3" s="57"/>
      <c r="AN3" s="57"/>
      <c r="AO3" s="57"/>
      <c r="AP3" s="56"/>
      <c r="AQ3" s="56"/>
      <c r="AR3" s="56"/>
      <c r="AS3" s="34"/>
      <c r="AT3" s="34"/>
      <c r="AU3" s="34"/>
      <c r="AV3" s="34"/>
      <c r="AW3" s="34"/>
      <c r="AX3" s="34"/>
      <c r="AY3" s="34"/>
      <c r="AZ3" s="34"/>
      <c r="BA3" s="34"/>
      <c r="BB3" s="34"/>
      <c r="BC3" s="34"/>
      <c r="BD3" s="34"/>
      <c r="BE3" s="34"/>
      <c r="BF3" s="34"/>
      <c r="BG3" s="34"/>
      <c r="BH3" s="34"/>
      <c r="BI3" s="34"/>
      <c r="BJ3" s="34"/>
      <c r="BK3" s="33" t="s">
        <v>304</v>
      </c>
      <c r="BL3" s="32">
        <v>2499.75</v>
      </c>
    </row>
    <row r="4" spans="1:64" ht="19.5" customHeight="1" x14ac:dyDescent="0.25">
      <c r="A4" s="35" t="s">
        <v>139</v>
      </c>
      <c r="B4" s="35" t="s">
        <v>501</v>
      </c>
      <c r="C4" s="35" t="s">
        <v>693</v>
      </c>
      <c r="D4" s="43" t="s">
        <v>277</v>
      </c>
      <c r="E4" s="35" t="s">
        <v>694</v>
      </c>
      <c r="F4" s="35" t="s">
        <v>695</v>
      </c>
      <c r="G4" s="35">
        <v>70506</v>
      </c>
      <c r="H4" s="35" t="s">
        <v>696</v>
      </c>
      <c r="I4" s="35" t="s">
        <v>139</v>
      </c>
      <c r="J4" s="35">
        <v>1743</v>
      </c>
      <c r="K4" s="42">
        <v>2541.88</v>
      </c>
      <c r="L4" s="41">
        <v>44652</v>
      </c>
      <c r="M4" s="41">
        <v>46477</v>
      </c>
      <c r="N4" s="35" t="s">
        <v>697</v>
      </c>
      <c r="O4" s="40">
        <v>1960.88</v>
      </c>
      <c r="P4" s="39">
        <v>305.02999999999997</v>
      </c>
      <c r="Q4" s="39">
        <v>130.72499999999999</v>
      </c>
      <c r="R4" s="39">
        <v>145.25</v>
      </c>
      <c r="S4" s="39">
        <f t="shared" si="0"/>
        <v>2541.8849999999998</v>
      </c>
      <c r="T4" s="38">
        <v>13.5</v>
      </c>
      <c r="U4" s="38">
        <v>2.1</v>
      </c>
      <c r="V4" s="38">
        <v>0.9</v>
      </c>
      <c r="W4" s="38">
        <v>1</v>
      </c>
      <c r="X4" s="38">
        <v>17.5</v>
      </c>
      <c r="Y4" s="38">
        <f t="shared" si="1"/>
        <v>2541.875</v>
      </c>
      <c r="Z4" s="37" t="s">
        <v>516</v>
      </c>
      <c r="AA4" s="33" t="s">
        <v>705</v>
      </c>
      <c r="AB4" s="33" t="s">
        <v>706</v>
      </c>
      <c r="AC4" s="35" t="s">
        <v>275</v>
      </c>
      <c r="AD4" s="35" t="s">
        <v>276</v>
      </c>
      <c r="AE4" s="33" t="s">
        <v>267</v>
      </c>
      <c r="AF4" s="33" t="s">
        <v>707</v>
      </c>
      <c r="AG4" s="33"/>
      <c r="AH4" s="33"/>
      <c r="AI4" s="33"/>
      <c r="AJ4" s="33"/>
      <c r="AK4" s="33"/>
      <c r="AL4" s="34"/>
      <c r="AM4" s="33"/>
      <c r="AN4" s="55"/>
      <c r="AO4" s="55"/>
      <c r="AP4" s="35"/>
      <c r="AQ4" s="35"/>
      <c r="AR4" s="35"/>
      <c r="AS4" s="34"/>
      <c r="AT4" s="34"/>
      <c r="AU4" s="34"/>
      <c r="AV4" s="34"/>
      <c r="AW4" s="34"/>
      <c r="AX4" s="34"/>
      <c r="AY4" s="34"/>
      <c r="AZ4" s="34"/>
      <c r="BA4" s="34"/>
      <c r="BB4" s="34"/>
      <c r="BC4" s="34"/>
      <c r="BD4" s="34"/>
      <c r="BE4" s="34"/>
      <c r="BF4" s="34"/>
      <c r="BG4" s="34"/>
      <c r="BH4" s="34"/>
      <c r="BI4" s="34"/>
      <c r="BJ4" s="34"/>
      <c r="BK4" s="33" t="s">
        <v>304</v>
      </c>
      <c r="BL4" s="32" t="s">
        <v>516</v>
      </c>
    </row>
    <row r="5" spans="1:64" ht="19.5" customHeight="1" x14ac:dyDescent="0.25">
      <c r="A5" s="35" t="s">
        <v>99</v>
      </c>
      <c r="B5" s="35" t="s">
        <v>501</v>
      </c>
      <c r="C5" s="35" t="s">
        <v>693</v>
      </c>
      <c r="D5" s="43" t="s">
        <v>287</v>
      </c>
      <c r="E5" s="35" t="s">
        <v>694</v>
      </c>
      <c r="F5" s="35" t="s">
        <v>695</v>
      </c>
      <c r="G5" s="35">
        <v>70506</v>
      </c>
      <c r="H5" s="35" t="s">
        <v>696</v>
      </c>
      <c r="I5" s="35" t="s">
        <v>99</v>
      </c>
      <c r="J5" s="35">
        <v>2546</v>
      </c>
      <c r="K5" s="42">
        <v>3808.39</v>
      </c>
      <c r="L5" s="41">
        <v>44044</v>
      </c>
      <c r="M5" s="41">
        <v>45930</v>
      </c>
      <c r="N5" s="35" t="s">
        <v>697</v>
      </c>
      <c r="O5" s="40">
        <v>2970.33</v>
      </c>
      <c r="P5" s="39">
        <v>445.55</v>
      </c>
      <c r="Q5" s="39">
        <v>180.3416666666667</v>
      </c>
      <c r="R5" s="39">
        <v>212.16666666666671</v>
      </c>
      <c r="S5" s="39">
        <f t="shared" si="0"/>
        <v>3808.3883333333333</v>
      </c>
      <c r="T5" s="38">
        <v>14</v>
      </c>
      <c r="U5" s="38">
        <v>2.1</v>
      </c>
      <c r="V5" s="38">
        <v>0.85</v>
      </c>
      <c r="W5" s="38">
        <v>1</v>
      </c>
      <c r="X5" s="38">
        <v>17.95</v>
      </c>
      <c r="Y5" s="38">
        <f t="shared" si="1"/>
        <v>3808.3916666666664</v>
      </c>
      <c r="Z5" s="37">
        <v>2758.17</v>
      </c>
      <c r="AA5" s="33" t="s">
        <v>708</v>
      </c>
      <c r="AB5" s="33" t="s">
        <v>709</v>
      </c>
      <c r="AC5" s="35" t="s">
        <v>285</v>
      </c>
      <c r="AD5" s="35" t="s">
        <v>286</v>
      </c>
      <c r="AE5" s="33" t="s">
        <v>279</v>
      </c>
      <c r="AF5" s="33" t="s">
        <v>710</v>
      </c>
      <c r="AG5" s="33"/>
      <c r="AH5" s="33"/>
      <c r="AI5" s="33"/>
      <c r="AJ5" s="33"/>
      <c r="AK5" s="33"/>
      <c r="AL5" s="34"/>
      <c r="AM5" s="33"/>
      <c r="AN5" s="33"/>
      <c r="AO5" s="33"/>
      <c r="AP5" s="35"/>
      <c r="AQ5" s="35"/>
      <c r="AR5" s="35"/>
      <c r="AS5" s="34"/>
      <c r="AT5" s="34"/>
      <c r="AU5" s="34"/>
      <c r="AV5" s="34"/>
      <c r="AW5" s="34"/>
      <c r="AX5" s="34"/>
      <c r="AY5" s="34"/>
      <c r="AZ5" s="34"/>
      <c r="BA5" s="34"/>
      <c r="BB5" s="34"/>
      <c r="BC5" s="34"/>
      <c r="BD5" s="34"/>
      <c r="BE5" s="34"/>
      <c r="BF5" s="34"/>
      <c r="BG5" s="34"/>
      <c r="BH5" s="34"/>
      <c r="BI5" s="34"/>
      <c r="BJ5" s="34"/>
      <c r="BK5" s="33" t="s">
        <v>304</v>
      </c>
      <c r="BL5" s="32">
        <v>2758.17</v>
      </c>
    </row>
    <row r="6" spans="1:64" ht="19.5" customHeight="1" x14ac:dyDescent="0.25">
      <c r="A6" s="35" t="s">
        <v>143</v>
      </c>
      <c r="B6" s="35" t="s">
        <v>501</v>
      </c>
      <c r="C6" s="35" t="s">
        <v>693</v>
      </c>
      <c r="D6" s="43" t="s">
        <v>297</v>
      </c>
      <c r="E6" s="35" t="s">
        <v>694</v>
      </c>
      <c r="F6" s="35" t="s">
        <v>695</v>
      </c>
      <c r="G6" s="35">
        <v>70506</v>
      </c>
      <c r="H6" s="35" t="s">
        <v>696</v>
      </c>
      <c r="I6" s="35" t="s">
        <v>143</v>
      </c>
      <c r="J6" s="35">
        <v>1690</v>
      </c>
      <c r="K6" s="42">
        <v>2605.42</v>
      </c>
      <c r="L6" s="41">
        <v>45292</v>
      </c>
      <c r="M6" s="41">
        <v>46418</v>
      </c>
      <c r="N6" s="35" t="s">
        <v>697</v>
      </c>
      <c r="O6" s="40">
        <v>1901.25</v>
      </c>
      <c r="P6" s="39">
        <v>295.75</v>
      </c>
      <c r="Q6" s="39">
        <v>133.79166666666671</v>
      </c>
      <c r="R6" s="39">
        <v>274.625</v>
      </c>
      <c r="S6" s="39">
        <f t="shared" si="0"/>
        <v>2605.4166666666665</v>
      </c>
      <c r="T6" s="38">
        <v>13.5</v>
      </c>
      <c r="U6" s="38">
        <v>2.1</v>
      </c>
      <c r="V6" s="38">
        <v>0.95</v>
      </c>
      <c r="W6" s="38">
        <v>1.95</v>
      </c>
      <c r="X6" s="38">
        <v>18.5</v>
      </c>
      <c r="Y6" s="38">
        <f t="shared" si="1"/>
        <v>2605.4166666666665</v>
      </c>
      <c r="Z6" s="37">
        <v>1901.25</v>
      </c>
      <c r="AA6" s="33" t="s">
        <v>711</v>
      </c>
      <c r="AB6" s="33" t="s">
        <v>712</v>
      </c>
      <c r="AC6" s="35" t="s">
        <v>295</v>
      </c>
      <c r="AD6" s="35" t="s">
        <v>296</v>
      </c>
      <c r="AE6" s="33" t="s">
        <v>289</v>
      </c>
      <c r="AF6" s="33" t="s">
        <v>713</v>
      </c>
      <c r="AG6" s="33"/>
      <c r="AH6" s="33"/>
      <c r="AI6" s="33"/>
      <c r="AJ6" s="33"/>
      <c r="AK6" s="33"/>
      <c r="AL6" s="34"/>
      <c r="AM6" s="33"/>
      <c r="AN6" s="33"/>
      <c r="AO6" s="33"/>
      <c r="AP6" s="35"/>
      <c r="AQ6" s="35"/>
      <c r="AR6" s="35"/>
      <c r="AS6" s="34"/>
      <c r="AT6" s="34"/>
      <c r="AU6" s="34"/>
      <c r="AV6" s="34"/>
      <c r="AW6" s="34"/>
      <c r="AX6" s="34"/>
      <c r="AY6" s="34"/>
      <c r="AZ6" s="34"/>
      <c r="BA6" s="34"/>
      <c r="BB6" s="34"/>
      <c r="BC6" s="34"/>
      <c r="BD6" s="34"/>
      <c r="BE6" s="34"/>
      <c r="BF6" s="34"/>
      <c r="BG6" s="34"/>
      <c r="BH6" s="34"/>
      <c r="BI6" s="34"/>
      <c r="BJ6" s="34"/>
      <c r="BK6" s="33" t="s">
        <v>304</v>
      </c>
      <c r="BL6" s="32">
        <v>1901.25</v>
      </c>
    </row>
    <row r="7" spans="1:64" ht="19.5" customHeight="1" x14ac:dyDescent="0.25">
      <c r="A7" s="35" t="s">
        <v>298</v>
      </c>
      <c r="B7" s="35" t="s">
        <v>501</v>
      </c>
      <c r="C7" s="35" t="s">
        <v>693</v>
      </c>
      <c r="D7" s="43" t="s">
        <v>308</v>
      </c>
      <c r="E7" s="35" t="s">
        <v>694</v>
      </c>
      <c r="F7" s="35" t="s">
        <v>695</v>
      </c>
      <c r="G7" s="35">
        <v>70506</v>
      </c>
      <c r="H7" s="35" t="s">
        <v>696</v>
      </c>
      <c r="I7" s="35" t="s">
        <v>298</v>
      </c>
      <c r="J7" s="35">
        <v>2606</v>
      </c>
      <c r="K7" s="42">
        <v>4017.58</v>
      </c>
      <c r="L7" s="41">
        <v>44197</v>
      </c>
      <c r="M7" s="41">
        <v>46568</v>
      </c>
      <c r="N7" s="35" t="s">
        <v>697</v>
      </c>
      <c r="O7" s="40">
        <v>2931.75</v>
      </c>
      <c r="P7" s="39">
        <v>456.05</v>
      </c>
      <c r="Q7" s="39">
        <v>206.30833333333331</v>
      </c>
      <c r="R7" s="39">
        <v>423.47500000000002</v>
      </c>
      <c r="S7" s="39">
        <f t="shared" si="0"/>
        <v>4017.5833333333335</v>
      </c>
      <c r="T7" s="38">
        <v>13.5</v>
      </c>
      <c r="U7" s="38">
        <v>2.1</v>
      </c>
      <c r="V7" s="38">
        <v>0.95</v>
      </c>
      <c r="W7" s="38">
        <v>1.95</v>
      </c>
      <c r="X7" s="38">
        <v>18.5</v>
      </c>
      <c r="Y7" s="38">
        <f t="shared" si="1"/>
        <v>4017.5833333333335</v>
      </c>
      <c r="Z7" s="37">
        <v>3680.96</v>
      </c>
      <c r="AA7" s="33" t="s">
        <v>714</v>
      </c>
      <c r="AB7" s="33" t="s">
        <v>715</v>
      </c>
      <c r="AC7" s="35" t="s">
        <v>306</v>
      </c>
      <c r="AD7" s="35" t="s">
        <v>307</v>
      </c>
      <c r="AE7" s="33" t="s">
        <v>300</v>
      </c>
      <c r="AF7" s="33" t="s">
        <v>527</v>
      </c>
      <c r="AG7" s="33"/>
      <c r="AH7" s="33"/>
      <c r="AI7" s="33"/>
      <c r="AJ7" s="33"/>
      <c r="AK7" s="33"/>
      <c r="AL7" s="34"/>
      <c r="AM7" s="33"/>
      <c r="AN7" s="33"/>
      <c r="AO7" s="33"/>
      <c r="AP7" s="35"/>
      <c r="AQ7" s="35"/>
      <c r="AR7" s="35"/>
      <c r="AS7" s="34"/>
      <c r="AT7" s="34"/>
      <c r="AU7" s="34"/>
      <c r="AV7" s="34"/>
      <c r="AW7" s="34"/>
      <c r="AX7" s="34"/>
      <c r="AY7" s="34"/>
      <c r="AZ7" s="34"/>
      <c r="BA7" s="34"/>
      <c r="BB7" s="34"/>
      <c r="BC7" s="34"/>
      <c r="BD7" s="34"/>
      <c r="BE7" s="34"/>
      <c r="BF7" s="34"/>
      <c r="BG7" s="34"/>
      <c r="BH7" s="34"/>
      <c r="BI7" s="34"/>
      <c r="BJ7" s="34"/>
      <c r="BK7" s="33" t="s">
        <v>304</v>
      </c>
      <c r="BL7" s="32">
        <v>3680.96</v>
      </c>
    </row>
    <row r="8" spans="1:64" ht="19.5" customHeight="1" x14ac:dyDescent="0.25">
      <c r="A8" s="35" t="s">
        <v>148</v>
      </c>
      <c r="B8" s="35" t="s">
        <v>501</v>
      </c>
      <c r="C8" s="35" t="s">
        <v>693</v>
      </c>
      <c r="D8" s="43" t="s">
        <v>318</v>
      </c>
      <c r="E8" s="35" t="s">
        <v>694</v>
      </c>
      <c r="F8" s="35" t="s">
        <v>695</v>
      </c>
      <c r="G8" s="35">
        <v>70506</v>
      </c>
      <c r="H8" s="35" t="s">
        <v>696</v>
      </c>
      <c r="I8" s="35" t="s">
        <v>148</v>
      </c>
      <c r="J8" s="35">
        <v>4340</v>
      </c>
      <c r="K8" s="42">
        <v>6654.67</v>
      </c>
      <c r="L8" s="41">
        <v>45139</v>
      </c>
      <c r="M8" s="41">
        <v>46295</v>
      </c>
      <c r="N8" s="35" t="s">
        <v>697</v>
      </c>
      <c r="O8" s="40">
        <v>4882.5</v>
      </c>
      <c r="P8" s="39">
        <v>759.5</v>
      </c>
      <c r="Q8" s="39">
        <v>343.58333333333331</v>
      </c>
      <c r="R8" s="39">
        <v>669.08333333333337</v>
      </c>
      <c r="S8" s="39">
        <f t="shared" si="0"/>
        <v>6654.6666666666661</v>
      </c>
      <c r="T8" s="38">
        <v>13.5</v>
      </c>
      <c r="U8" s="38">
        <v>2.1</v>
      </c>
      <c r="V8" s="38">
        <v>0.95</v>
      </c>
      <c r="W8" s="38">
        <v>1.85</v>
      </c>
      <c r="X8" s="38">
        <v>18.399999999999999</v>
      </c>
      <c r="Y8" s="38">
        <f t="shared" si="1"/>
        <v>6654.666666666667</v>
      </c>
      <c r="Z8" s="37">
        <v>4941.37</v>
      </c>
      <c r="AA8" s="33" t="s">
        <v>716</v>
      </c>
      <c r="AB8" s="33" t="s">
        <v>717</v>
      </c>
      <c r="AC8" s="35" t="s">
        <v>316</v>
      </c>
      <c r="AD8" s="35" t="s">
        <v>317</v>
      </c>
      <c r="AE8" s="33" t="s">
        <v>310</v>
      </c>
      <c r="AF8" s="33" t="s">
        <v>718</v>
      </c>
      <c r="AG8" s="33"/>
      <c r="AH8" s="33"/>
      <c r="AI8" s="33"/>
      <c r="AJ8" s="33"/>
      <c r="AK8" s="33"/>
      <c r="AL8" s="34"/>
      <c r="AM8" s="33"/>
      <c r="AN8" s="33"/>
      <c r="AO8" s="33"/>
      <c r="AP8" s="35"/>
      <c r="AQ8" s="35"/>
      <c r="AR8" s="35"/>
      <c r="AS8" s="34"/>
      <c r="AT8" s="34"/>
      <c r="AU8" s="34"/>
      <c r="AV8" s="34"/>
      <c r="AW8" s="34"/>
      <c r="AX8" s="34"/>
      <c r="AY8" s="34"/>
      <c r="AZ8" s="34"/>
      <c r="BA8" s="34"/>
      <c r="BB8" s="34"/>
      <c r="BC8" s="34"/>
      <c r="BD8" s="34"/>
      <c r="BE8" s="34"/>
      <c r="BF8" s="34"/>
      <c r="BG8" s="34"/>
      <c r="BH8" s="34"/>
      <c r="BI8" s="34"/>
      <c r="BJ8" s="34"/>
      <c r="BK8" s="33" t="s">
        <v>304</v>
      </c>
      <c r="BL8" s="32">
        <v>4941.37</v>
      </c>
    </row>
    <row r="9" spans="1:64" ht="19.5" customHeight="1" x14ac:dyDescent="0.25">
      <c r="A9" s="35" t="s">
        <v>103</v>
      </c>
      <c r="B9" s="35" t="s">
        <v>501</v>
      </c>
      <c r="C9" s="35" t="s">
        <v>693</v>
      </c>
      <c r="D9" s="43" t="s">
        <v>326</v>
      </c>
      <c r="E9" s="35" t="s">
        <v>694</v>
      </c>
      <c r="F9" s="35" t="s">
        <v>695</v>
      </c>
      <c r="G9" s="35">
        <v>70506</v>
      </c>
      <c r="H9" s="35" t="s">
        <v>696</v>
      </c>
      <c r="I9" s="35" t="s">
        <v>103</v>
      </c>
      <c r="J9" s="35">
        <v>1769</v>
      </c>
      <c r="K9" s="42">
        <v>2719.83</v>
      </c>
      <c r="L9" s="41">
        <v>42795</v>
      </c>
      <c r="M9" s="41">
        <v>46081</v>
      </c>
      <c r="N9" s="35" t="s">
        <v>697</v>
      </c>
      <c r="O9" s="40">
        <v>2063.83</v>
      </c>
      <c r="P9" s="39">
        <v>309.57</v>
      </c>
      <c r="Q9" s="39">
        <v>176.9</v>
      </c>
      <c r="R9" s="39">
        <v>169.5291666666667</v>
      </c>
      <c r="S9" s="39">
        <f t="shared" si="0"/>
        <v>2719.8291666666669</v>
      </c>
      <c r="T9" s="38">
        <v>14</v>
      </c>
      <c r="U9" s="38">
        <v>2.1</v>
      </c>
      <c r="V9" s="38">
        <v>1.2</v>
      </c>
      <c r="W9" s="38">
        <v>1.1499999999999999</v>
      </c>
      <c r="X9" s="38">
        <v>18.45</v>
      </c>
      <c r="Y9" s="38">
        <f t="shared" si="1"/>
        <v>2719.8375000000001</v>
      </c>
      <c r="Z9" s="37">
        <v>1842.71</v>
      </c>
      <c r="AA9" s="33" t="s">
        <v>719</v>
      </c>
      <c r="AB9" s="33" t="s">
        <v>720</v>
      </c>
      <c r="AC9" s="35" t="s">
        <v>721</v>
      </c>
      <c r="AD9" s="35" t="s">
        <v>325</v>
      </c>
      <c r="AE9" s="33" t="s">
        <v>320</v>
      </c>
      <c r="AF9" s="33" t="s">
        <v>581</v>
      </c>
      <c r="AG9" s="33"/>
      <c r="AH9" s="33"/>
      <c r="AI9" s="33"/>
      <c r="AJ9" s="33"/>
      <c r="AK9" s="33"/>
      <c r="AL9" s="34"/>
      <c r="AM9" s="33"/>
      <c r="AN9" s="33"/>
      <c r="AO9" s="33"/>
      <c r="AP9" s="35"/>
      <c r="AQ9" s="35"/>
      <c r="AR9" s="35"/>
      <c r="AS9" s="34"/>
      <c r="AT9" s="34"/>
      <c r="AU9" s="34"/>
      <c r="AV9" s="34"/>
      <c r="AW9" s="34"/>
      <c r="AX9" s="34"/>
      <c r="AY9" s="34"/>
      <c r="AZ9" s="34"/>
      <c r="BA9" s="34"/>
      <c r="BB9" s="34"/>
      <c r="BC9" s="34"/>
      <c r="BD9" s="34"/>
      <c r="BE9" s="34"/>
      <c r="BF9" s="34"/>
      <c r="BG9" s="34"/>
      <c r="BH9" s="34"/>
      <c r="BI9" s="34"/>
      <c r="BJ9" s="34"/>
      <c r="BK9" s="33" t="s">
        <v>304</v>
      </c>
      <c r="BL9" s="32">
        <v>1842.71</v>
      </c>
    </row>
    <row r="10" spans="1:64" ht="19.5" customHeight="1" x14ac:dyDescent="0.25">
      <c r="A10" s="35" t="s">
        <v>106</v>
      </c>
      <c r="B10" s="35" t="s">
        <v>501</v>
      </c>
      <c r="C10" s="35" t="s">
        <v>693</v>
      </c>
      <c r="D10" s="43" t="s">
        <v>336</v>
      </c>
      <c r="E10" s="35" t="s">
        <v>694</v>
      </c>
      <c r="F10" s="35" t="s">
        <v>695</v>
      </c>
      <c r="G10" s="35">
        <v>70506</v>
      </c>
      <c r="H10" s="35" t="s">
        <v>696</v>
      </c>
      <c r="I10" s="35" t="s">
        <v>106</v>
      </c>
      <c r="J10" s="35">
        <v>1982</v>
      </c>
      <c r="K10" s="42">
        <v>2890.42</v>
      </c>
      <c r="L10" s="41">
        <v>44621</v>
      </c>
      <c r="M10" s="41">
        <v>46081</v>
      </c>
      <c r="N10" s="35" t="s">
        <v>697</v>
      </c>
      <c r="O10" s="40">
        <v>2229.75</v>
      </c>
      <c r="P10" s="39">
        <v>346.85</v>
      </c>
      <c r="Q10" s="39">
        <v>148.65</v>
      </c>
      <c r="R10" s="39">
        <v>165.16666666666671</v>
      </c>
      <c r="S10" s="39">
        <f t="shared" si="0"/>
        <v>2890.4166666666665</v>
      </c>
      <c r="T10" s="38">
        <v>13.5</v>
      </c>
      <c r="U10" s="38">
        <v>2.1</v>
      </c>
      <c r="V10" s="38">
        <v>0.9</v>
      </c>
      <c r="W10" s="38">
        <v>1</v>
      </c>
      <c r="X10" s="38">
        <v>17.5</v>
      </c>
      <c r="Y10" s="38">
        <f t="shared" si="1"/>
        <v>2890.4166666666665</v>
      </c>
      <c r="Z10" s="37">
        <v>2985.4</v>
      </c>
      <c r="AA10" s="33" t="s">
        <v>722</v>
      </c>
      <c r="AB10" s="33" t="s">
        <v>723</v>
      </c>
      <c r="AC10" s="35" t="s">
        <v>724</v>
      </c>
      <c r="AD10" s="35" t="s">
        <v>335</v>
      </c>
      <c r="AE10" s="33" t="s">
        <v>328</v>
      </c>
      <c r="AF10" s="33" t="s">
        <v>725</v>
      </c>
      <c r="AG10" s="33"/>
      <c r="AH10" s="33"/>
      <c r="AI10" s="33"/>
      <c r="AJ10" s="33"/>
      <c r="AK10" s="33"/>
      <c r="AL10" s="34"/>
      <c r="AM10" s="33"/>
      <c r="AN10" s="33"/>
      <c r="AO10" s="33"/>
      <c r="AP10" s="35"/>
      <c r="AQ10" s="35"/>
      <c r="AR10" s="35"/>
      <c r="AS10" s="34"/>
      <c r="AT10" s="34"/>
      <c r="AU10" s="34"/>
      <c r="AV10" s="34"/>
      <c r="AW10" s="34"/>
      <c r="AX10" s="34"/>
      <c r="AY10" s="34"/>
      <c r="AZ10" s="34"/>
      <c r="BA10" s="34"/>
      <c r="BB10" s="34"/>
      <c r="BC10" s="34"/>
      <c r="BD10" s="34"/>
      <c r="BE10" s="34"/>
      <c r="BF10" s="34"/>
      <c r="BG10" s="34"/>
      <c r="BH10" s="34"/>
      <c r="BI10" s="34"/>
      <c r="BJ10" s="34"/>
      <c r="BK10" s="33" t="s">
        <v>304</v>
      </c>
      <c r="BL10" s="32">
        <v>2985.4</v>
      </c>
    </row>
    <row r="11" spans="1:64" ht="19.5" customHeight="1" x14ac:dyDescent="0.25">
      <c r="A11" s="35" t="s">
        <v>109</v>
      </c>
      <c r="B11" s="35" t="s">
        <v>501</v>
      </c>
      <c r="C11" s="35" t="s">
        <v>693</v>
      </c>
      <c r="D11" s="43" t="s">
        <v>348</v>
      </c>
      <c r="E11" s="35" t="s">
        <v>694</v>
      </c>
      <c r="F11" s="35" t="s">
        <v>695</v>
      </c>
      <c r="G11" s="35">
        <v>70506</v>
      </c>
      <c r="H11" s="35" t="s">
        <v>696</v>
      </c>
      <c r="I11" s="35" t="s">
        <v>109</v>
      </c>
      <c r="J11" s="35">
        <v>1974</v>
      </c>
      <c r="K11" s="42">
        <v>3035.02</v>
      </c>
      <c r="L11" s="41">
        <v>43745</v>
      </c>
      <c r="M11" s="41">
        <v>46081</v>
      </c>
      <c r="N11" s="35" t="s">
        <v>697</v>
      </c>
      <c r="O11" s="40">
        <v>2303</v>
      </c>
      <c r="P11" s="39">
        <v>345.45</v>
      </c>
      <c r="Q11" s="39">
        <v>197.4</v>
      </c>
      <c r="R11" s="39">
        <v>189.17500000000001</v>
      </c>
      <c r="S11" s="39">
        <f t="shared" si="0"/>
        <v>3035.0250000000001</v>
      </c>
      <c r="T11" s="38">
        <v>14</v>
      </c>
      <c r="U11" s="38">
        <v>2.1</v>
      </c>
      <c r="V11" s="38">
        <v>1.2</v>
      </c>
      <c r="W11" s="38">
        <v>1.1499999999999999</v>
      </c>
      <c r="X11" s="38">
        <v>18.45</v>
      </c>
      <c r="Y11" s="38">
        <f t="shared" si="1"/>
        <v>3035.0249999999996</v>
      </c>
      <c r="Z11" s="37">
        <v>2706.03</v>
      </c>
      <c r="AA11" s="33" t="s">
        <v>726</v>
      </c>
      <c r="AB11" s="33" t="s">
        <v>727</v>
      </c>
      <c r="AC11" s="35" t="s">
        <v>346</v>
      </c>
      <c r="AD11" s="35" t="s">
        <v>347</v>
      </c>
      <c r="AE11" s="33" t="s">
        <v>338</v>
      </c>
      <c r="AF11" s="33" t="s">
        <v>585</v>
      </c>
      <c r="AG11" s="33"/>
      <c r="AH11" s="33"/>
      <c r="AI11" s="33"/>
      <c r="AJ11" s="33"/>
      <c r="AK11" s="33"/>
      <c r="AL11" s="34"/>
      <c r="AM11" s="33"/>
      <c r="AN11" s="33"/>
      <c r="AO11" s="33"/>
      <c r="AP11" s="35"/>
      <c r="AQ11" s="35"/>
      <c r="AR11" s="35"/>
      <c r="AS11" s="34"/>
      <c r="AT11" s="34"/>
      <c r="AU11" s="34"/>
      <c r="AV11" s="34"/>
      <c r="AW11" s="34"/>
      <c r="AX11" s="34"/>
      <c r="AY11" s="34"/>
      <c r="AZ11" s="34"/>
      <c r="BA11" s="34"/>
      <c r="BB11" s="34"/>
      <c r="BC11" s="34"/>
      <c r="BD11" s="34"/>
      <c r="BE11" s="34"/>
      <c r="BF11" s="34"/>
      <c r="BG11" s="34"/>
      <c r="BH11" s="34"/>
      <c r="BI11" s="34"/>
      <c r="BJ11" s="34"/>
      <c r="BK11" s="33" t="s">
        <v>304</v>
      </c>
      <c r="BL11" s="32">
        <v>2706.03</v>
      </c>
    </row>
    <row r="12" spans="1:64" ht="19.5" customHeight="1" x14ac:dyDescent="0.25">
      <c r="A12" s="35" t="s">
        <v>111</v>
      </c>
      <c r="B12" s="35" t="s">
        <v>501</v>
      </c>
      <c r="C12" s="35" t="s">
        <v>693</v>
      </c>
      <c r="D12" s="43" t="s">
        <v>357</v>
      </c>
      <c r="E12" s="35" t="s">
        <v>694</v>
      </c>
      <c r="F12" s="35" t="s">
        <v>695</v>
      </c>
      <c r="G12" s="35">
        <v>70506</v>
      </c>
      <c r="H12" s="35" t="s">
        <v>696</v>
      </c>
      <c r="I12" s="35" t="s">
        <v>111</v>
      </c>
      <c r="J12" s="35">
        <v>1709</v>
      </c>
      <c r="K12" s="42"/>
      <c r="L12" s="41">
        <v>45869</v>
      </c>
      <c r="M12" s="41" t="s">
        <v>728</v>
      </c>
      <c r="N12" s="35" t="s">
        <v>697</v>
      </c>
      <c r="O12" s="40">
        <v>1815.81</v>
      </c>
      <c r="P12" s="39">
        <v>299.08</v>
      </c>
      <c r="Q12" s="39">
        <v>135.5</v>
      </c>
      <c r="R12" s="39">
        <v>277.70999999999998</v>
      </c>
      <c r="S12" s="39">
        <f t="shared" si="0"/>
        <v>2528.1</v>
      </c>
      <c r="T12" s="38">
        <v>0</v>
      </c>
      <c r="U12" s="38">
        <v>0</v>
      </c>
      <c r="V12" s="38">
        <v>0</v>
      </c>
      <c r="W12" s="38">
        <v>0</v>
      </c>
      <c r="X12" s="38">
        <v>0</v>
      </c>
      <c r="Y12" s="38">
        <f t="shared" si="1"/>
        <v>0</v>
      </c>
      <c r="Z12" s="37">
        <v>1958.23</v>
      </c>
      <c r="AA12" s="33" t="s">
        <v>729</v>
      </c>
      <c r="AB12" s="33" t="s">
        <v>730</v>
      </c>
      <c r="AC12" s="35" t="s">
        <v>355</v>
      </c>
      <c r="AD12" s="35" t="s">
        <v>356</v>
      </c>
      <c r="AE12" s="33" t="s">
        <v>350</v>
      </c>
      <c r="AF12" s="33" t="s">
        <v>731</v>
      </c>
      <c r="AG12" s="33"/>
      <c r="AH12" s="33"/>
      <c r="AI12" s="33"/>
      <c r="AJ12" s="33"/>
      <c r="AK12" s="33"/>
      <c r="AL12" s="34"/>
      <c r="AM12" s="33"/>
      <c r="AN12" s="33"/>
      <c r="AO12" s="33"/>
      <c r="AP12" s="35"/>
      <c r="AQ12" s="35"/>
      <c r="AR12" s="35"/>
      <c r="AS12" s="34"/>
      <c r="AT12" s="34"/>
      <c r="AU12" s="34"/>
      <c r="AV12" s="34"/>
      <c r="AW12" s="34"/>
      <c r="AX12" s="34"/>
      <c r="AY12" s="34"/>
      <c r="AZ12" s="34"/>
      <c r="BA12" s="34"/>
      <c r="BB12" s="34"/>
      <c r="BC12" s="34"/>
      <c r="BD12" s="34"/>
      <c r="BE12" s="34"/>
      <c r="BF12" s="34"/>
      <c r="BG12" s="34"/>
      <c r="BH12" s="34"/>
      <c r="BI12" s="34"/>
      <c r="BJ12" s="34"/>
      <c r="BK12" s="33" t="s">
        <v>304</v>
      </c>
      <c r="BL12" s="32">
        <v>1958.23</v>
      </c>
    </row>
    <row r="13" spans="1:64" ht="19.5" customHeight="1" x14ac:dyDescent="0.25">
      <c r="A13" s="35" t="s">
        <v>358</v>
      </c>
      <c r="B13" s="35" t="s">
        <v>501</v>
      </c>
      <c r="C13" s="35" t="s">
        <v>693</v>
      </c>
      <c r="D13" s="43" t="s">
        <v>366</v>
      </c>
      <c r="E13" s="35" t="s">
        <v>694</v>
      </c>
      <c r="F13" s="35" t="s">
        <v>695</v>
      </c>
      <c r="G13" s="35">
        <v>70506</v>
      </c>
      <c r="H13" s="35" t="s">
        <v>696</v>
      </c>
      <c r="I13" s="35" t="s">
        <v>358</v>
      </c>
      <c r="J13" s="35">
        <v>3563</v>
      </c>
      <c r="K13" s="42">
        <v>5492.96</v>
      </c>
      <c r="L13" s="41">
        <v>45413</v>
      </c>
      <c r="M13" s="41">
        <v>47483</v>
      </c>
      <c r="N13" s="35" t="s">
        <v>697</v>
      </c>
      <c r="O13" s="40">
        <v>4008.38</v>
      </c>
      <c r="P13" s="39">
        <v>623.52</v>
      </c>
      <c r="Q13" s="39">
        <v>282.07083333333333</v>
      </c>
      <c r="R13" s="39">
        <v>578.98749999999995</v>
      </c>
      <c r="S13" s="39">
        <f t="shared" si="0"/>
        <v>5492.958333333333</v>
      </c>
      <c r="T13" s="38">
        <v>13.5</v>
      </c>
      <c r="U13" s="38">
        <v>2.1</v>
      </c>
      <c r="V13" s="38">
        <v>0.95</v>
      </c>
      <c r="W13" s="38">
        <v>1.95</v>
      </c>
      <c r="X13" s="38">
        <v>18.5</v>
      </c>
      <c r="Y13" s="38">
        <f t="shared" si="1"/>
        <v>5492.958333333333</v>
      </c>
      <c r="Z13" s="37">
        <v>4008.38</v>
      </c>
      <c r="AA13" s="33" t="s">
        <v>732</v>
      </c>
      <c r="AB13" s="33" t="s">
        <v>733</v>
      </c>
      <c r="AC13" s="54" t="s">
        <v>364</v>
      </c>
      <c r="AD13" s="35" t="s">
        <v>365</v>
      </c>
      <c r="AE13" s="33" t="s">
        <v>360</v>
      </c>
      <c r="AF13" s="33" t="s">
        <v>734</v>
      </c>
      <c r="AG13" s="33"/>
      <c r="AH13" s="33"/>
      <c r="AI13" s="33"/>
      <c r="AJ13" s="33"/>
      <c r="AK13" s="33"/>
      <c r="AL13" s="34"/>
      <c r="AM13" s="33"/>
      <c r="AN13" s="33"/>
      <c r="AO13" s="33"/>
      <c r="AP13" s="35"/>
      <c r="AQ13" s="35"/>
      <c r="AR13" s="35"/>
      <c r="AS13" s="34"/>
      <c r="AT13" s="34"/>
      <c r="AU13" s="34"/>
      <c r="AV13" s="34"/>
      <c r="AW13" s="34"/>
      <c r="AX13" s="34"/>
      <c r="AY13" s="34"/>
      <c r="AZ13" s="34"/>
      <c r="BA13" s="34"/>
      <c r="BB13" s="34"/>
      <c r="BC13" s="34"/>
      <c r="BD13" s="34"/>
      <c r="BE13" s="34"/>
      <c r="BF13" s="34"/>
      <c r="BG13" s="34"/>
      <c r="BH13" s="34"/>
      <c r="BI13" s="34"/>
      <c r="BJ13" s="34"/>
      <c r="BK13" s="33" t="s">
        <v>304</v>
      </c>
      <c r="BL13" s="32">
        <v>4008.38</v>
      </c>
    </row>
    <row r="14" spans="1:64" ht="19.5" customHeight="1" x14ac:dyDescent="0.25">
      <c r="A14" s="35" t="s">
        <v>153</v>
      </c>
      <c r="B14" s="35" t="s">
        <v>501</v>
      </c>
      <c r="C14" s="35" t="s">
        <v>693</v>
      </c>
      <c r="D14" s="43" t="s">
        <v>375</v>
      </c>
      <c r="E14" s="35" t="s">
        <v>694</v>
      </c>
      <c r="F14" s="35" t="s">
        <v>695</v>
      </c>
      <c r="G14" s="35">
        <v>70506</v>
      </c>
      <c r="H14" s="35" t="s">
        <v>696</v>
      </c>
      <c r="I14" s="35" t="s">
        <v>153</v>
      </c>
      <c r="J14" s="35">
        <v>4273</v>
      </c>
      <c r="K14" s="42">
        <v>6587.54</v>
      </c>
      <c r="L14" s="41">
        <v>45413</v>
      </c>
      <c r="M14" s="41">
        <v>46873</v>
      </c>
      <c r="N14" s="35" t="s">
        <v>697</v>
      </c>
      <c r="O14" s="40">
        <v>4807.12</v>
      </c>
      <c r="P14" s="39">
        <v>747.78</v>
      </c>
      <c r="Q14" s="39">
        <v>338.27916666666658</v>
      </c>
      <c r="R14" s="39">
        <v>694.36250000000007</v>
      </c>
      <c r="S14" s="39">
        <f t="shared" si="0"/>
        <v>6587.5416666666661</v>
      </c>
      <c r="T14" s="38">
        <v>13.5</v>
      </c>
      <c r="U14" s="38">
        <v>2.1</v>
      </c>
      <c r="V14" s="38">
        <v>0.95</v>
      </c>
      <c r="W14" s="38">
        <v>1.95</v>
      </c>
      <c r="X14" s="38">
        <v>18.5</v>
      </c>
      <c r="Y14" s="38">
        <f t="shared" si="1"/>
        <v>6587.541666666667</v>
      </c>
      <c r="Z14" s="37">
        <v>2500</v>
      </c>
      <c r="AA14" s="33" t="s">
        <v>735</v>
      </c>
      <c r="AB14" s="33" t="s">
        <v>736</v>
      </c>
      <c r="AC14" s="35" t="s">
        <v>373</v>
      </c>
      <c r="AD14" s="35" t="s">
        <v>374</v>
      </c>
      <c r="AE14" s="33" t="s">
        <v>368</v>
      </c>
      <c r="AF14" s="33" t="s">
        <v>737</v>
      </c>
      <c r="AG14" s="33"/>
      <c r="AH14" s="33"/>
      <c r="AI14" s="33"/>
      <c r="AJ14" s="33"/>
      <c r="AK14" s="33"/>
      <c r="AL14" s="34"/>
      <c r="AM14" s="33"/>
      <c r="AN14" s="33"/>
      <c r="AO14" s="33"/>
      <c r="AP14" s="35"/>
      <c r="AQ14" s="35"/>
      <c r="AR14" s="35"/>
      <c r="AS14" s="34"/>
      <c r="AT14" s="34"/>
      <c r="AU14" s="34"/>
      <c r="AV14" s="34"/>
      <c r="AW14" s="34"/>
      <c r="AX14" s="34"/>
      <c r="AY14" s="34"/>
      <c r="AZ14" s="34"/>
      <c r="BA14" s="34"/>
      <c r="BB14" s="34"/>
      <c r="BC14" s="34"/>
      <c r="BD14" s="34"/>
      <c r="BE14" s="34"/>
      <c r="BF14" s="34"/>
      <c r="BG14" s="34"/>
      <c r="BH14" s="34"/>
      <c r="BI14" s="34"/>
      <c r="BJ14" s="34"/>
      <c r="BK14" s="33" t="s">
        <v>304</v>
      </c>
      <c r="BL14" s="32">
        <v>2500</v>
      </c>
    </row>
    <row r="15" spans="1:64" ht="19.5" customHeight="1" x14ac:dyDescent="0.25">
      <c r="A15" s="35" t="s">
        <v>157</v>
      </c>
      <c r="B15" s="35" t="s">
        <v>501</v>
      </c>
      <c r="C15" s="35" t="s">
        <v>693</v>
      </c>
      <c r="D15" s="43" t="s">
        <v>384</v>
      </c>
      <c r="E15" s="35" t="s">
        <v>694</v>
      </c>
      <c r="F15" s="35" t="s">
        <v>695</v>
      </c>
      <c r="G15" s="35">
        <v>70506</v>
      </c>
      <c r="H15" s="35" t="s">
        <v>696</v>
      </c>
      <c r="I15" s="35" t="s">
        <v>157</v>
      </c>
      <c r="J15" s="35">
        <v>1789</v>
      </c>
      <c r="K15" s="42">
        <v>2832.58</v>
      </c>
      <c r="L15" s="41">
        <v>45369</v>
      </c>
      <c r="M15" s="41">
        <v>47361</v>
      </c>
      <c r="N15" s="35" t="s">
        <v>697</v>
      </c>
      <c r="O15" s="40">
        <v>2087.17</v>
      </c>
      <c r="P15" s="39">
        <v>313.07</v>
      </c>
      <c r="Q15" s="39">
        <v>141.62916666666669</v>
      </c>
      <c r="R15" s="39">
        <v>290.71249999999998</v>
      </c>
      <c r="S15" s="39">
        <f t="shared" si="0"/>
        <v>2832.5816666666669</v>
      </c>
      <c r="T15" s="38">
        <v>14</v>
      </c>
      <c r="U15" s="38">
        <v>2.1</v>
      </c>
      <c r="V15" s="38">
        <v>0.95</v>
      </c>
      <c r="W15" s="38">
        <v>1.95</v>
      </c>
      <c r="X15" s="38">
        <v>19</v>
      </c>
      <c r="Y15" s="38">
        <f t="shared" si="1"/>
        <v>2832.5833333333335</v>
      </c>
      <c r="Z15" s="37">
        <v>2832.58</v>
      </c>
      <c r="AA15" s="33" t="s">
        <v>738</v>
      </c>
      <c r="AB15" s="33" t="s">
        <v>705</v>
      </c>
      <c r="AC15" s="35" t="s">
        <v>382</v>
      </c>
      <c r="AD15" s="35" t="s">
        <v>383</v>
      </c>
      <c r="AE15" s="33" t="s">
        <v>378</v>
      </c>
      <c r="AF15" s="33" t="s">
        <v>739</v>
      </c>
      <c r="AG15" s="33"/>
      <c r="AH15" s="33"/>
      <c r="AI15" s="33"/>
      <c r="AJ15" s="33"/>
      <c r="AK15" s="33"/>
      <c r="AL15" s="34"/>
      <c r="AM15" s="33"/>
      <c r="AN15" s="33"/>
      <c r="AO15" s="33"/>
      <c r="AP15" s="35"/>
      <c r="AQ15" s="35"/>
      <c r="AR15" s="35"/>
      <c r="AS15" s="34"/>
      <c r="AT15" s="34"/>
      <c r="AU15" s="34"/>
      <c r="AV15" s="34"/>
      <c r="AW15" s="34"/>
      <c r="AX15" s="34"/>
      <c r="AY15" s="34"/>
      <c r="AZ15" s="34"/>
      <c r="BA15" s="34"/>
      <c r="BB15" s="34"/>
      <c r="BC15" s="34"/>
      <c r="BD15" s="34"/>
      <c r="BE15" s="34"/>
      <c r="BF15" s="34"/>
      <c r="BG15" s="34"/>
      <c r="BH15" s="34"/>
      <c r="BI15" s="34"/>
      <c r="BJ15" s="34"/>
      <c r="BK15" s="33" t="s">
        <v>304</v>
      </c>
      <c r="BL15" s="32">
        <v>2832.58</v>
      </c>
    </row>
    <row r="16" spans="1:64" ht="19.5" customHeight="1" x14ac:dyDescent="0.25">
      <c r="A16" s="47" t="s">
        <v>161</v>
      </c>
      <c r="B16" s="47" t="s">
        <v>501</v>
      </c>
      <c r="C16" s="47" t="s">
        <v>693</v>
      </c>
      <c r="D16" s="53" t="s">
        <v>387</v>
      </c>
      <c r="E16" s="47" t="s">
        <v>694</v>
      </c>
      <c r="F16" s="47" t="s">
        <v>695</v>
      </c>
      <c r="G16" s="47">
        <v>70506</v>
      </c>
      <c r="H16" s="47" t="s">
        <v>696</v>
      </c>
      <c r="I16" s="47" t="s">
        <v>161</v>
      </c>
      <c r="J16" s="47">
        <v>1907</v>
      </c>
      <c r="K16" s="46"/>
      <c r="L16" s="52"/>
      <c r="M16" s="47"/>
      <c r="N16" s="47"/>
      <c r="O16" s="51"/>
      <c r="P16" s="51"/>
      <c r="Q16" s="51"/>
      <c r="R16" s="51"/>
      <c r="S16" s="51">
        <f t="shared" si="0"/>
        <v>0</v>
      </c>
      <c r="T16" s="50">
        <v>0</v>
      </c>
      <c r="U16" s="50">
        <v>0</v>
      </c>
      <c r="V16" s="50">
        <v>0</v>
      </c>
      <c r="W16" s="50">
        <v>0</v>
      </c>
      <c r="X16" s="50">
        <v>0</v>
      </c>
      <c r="Y16" s="50">
        <f t="shared" si="1"/>
        <v>0</v>
      </c>
      <c r="Z16" s="49"/>
      <c r="AA16" s="47"/>
      <c r="AB16" s="47"/>
      <c r="AC16" s="47"/>
      <c r="AD16" s="47"/>
      <c r="AE16" s="47"/>
      <c r="AF16" s="47" t="s">
        <v>740</v>
      </c>
      <c r="AG16" s="47"/>
      <c r="AH16" s="47"/>
      <c r="AI16" s="47"/>
      <c r="AJ16" s="47"/>
      <c r="AK16" s="47"/>
      <c r="AL16" s="48"/>
      <c r="AM16" s="47"/>
      <c r="AN16" s="47"/>
      <c r="AO16" s="47"/>
      <c r="AP16" s="47"/>
      <c r="AQ16" s="47"/>
      <c r="AR16" s="47"/>
      <c r="AS16" s="48"/>
      <c r="AT16" s="48"/>
      <c r="AU16" s="48"/>
      <c r="AV16" s="48"/>
      <c r="AW16" s="48"/>
      <c r="AX16" s="48"/>
      <c r="AY16" s="48"/>
      <c r="AZ16" s="48"/>
      <c r="BA16" s="48"/>
      <c r="BB16" s="48"/>
      <c r="BC16" s="48"/>
      <c r="BD16" s="48"/>
      <c r="BE16" s="48"/>
      <c r="BF16" s="48"/>
      <c r="BG16" s="48"/>
      <c r="BH16" s="48"/>
      <c r="BI16" s="48"/>
      <c r="BJ16" s="48"/>
      <c r="BK16" s="47" t="s">
        <v>304</v>
      </c>
      <c r="BL16" s="46"/>
    </row>
    <row r="17" spans="1:64" ht="19.5" customHeight="1" x14ac:dyDescent="0.25">
      <c r="A17" s="47" t="s">
        <v>388</v>
      </c>
      <c r="B17" s="47" t="s">
        <v>501</v>
      </c>
      <c r="C17" s="47" t="s">
        <v>693</v>
      </c>
      <c r="D17" s="53" t="s">
        <v>391</v>
      </c>
      <c r="E17" s="47" t="s">
        <v>694</v>
      </c>
      <c r="F17" s="47" t="s">
        <v>695</v>
      </c>
      <c r="G17" s="47">
        <v>70506</v>
      </c>
      <c r="H17" s="47" t="s">
        <v>696</v>
      </c>
      <c r="I17" s="47" t="s">
        <v>388</v>
      </c>
      <c r="J17" s="47">
        <v>1272</v>
      </c>
      <c r="K17" s="46"/>
      <c r="L17" s="52"/>
      <c r="M17" s="47"/>
      <c r="N17" s="47"/>
      <c r="O17" s="51"/>
      <c r="P17" s="51"/>
      <c r="Q17" s="51"/>
      <c r="R17" s="51"/>
      <c r="S17" s="51">
        <f t="shared" si="0"/>
        <v>0</v>
      </c>
      <c r="T17" s="50">
        <v>0</v>
      </c>
      <c r="U17" s="50">
        <v>0</v>
      </c>
      <c r="V17" s="50">
        <v>0</v>
      </c>
      <c r="W17" s="50">
        <v>0</v>
      </c>
      <c r="X17" s="50">
        <v>0</v>
      </c>
      <c r="Y17" s="50">
        <f t="shared" si="1"/>
        <v>0</v>
      </c>
      <c r="Z17" s="49"/>
      <c r="AA17" s="47"/>
      <c r="AB17" s="47"/>
      <c r="AC17" s="47"/>
      <c r="AD17" s="47"/>
      <c r="AE17" s="47"/>
      <c r="AF17" s="47"/>
      <c r="AG17" s="47"/>
      <c r="AH17" s="47"/>
      <c r="AI17" s="47"/>
      <c r="AJ17" s="47"/>
      <c r="AK17" s="47"/>
      <c r="AL17" s="48"/>
      <c r="AM17" s="47"/>
      <c r="AN17" s="47"/>
      <c r="AO17" s="47"/>
      <c r="AP17" s="47"/>
      <c r="AQ17" s="47"/>
      <c r="AR17" s="47"/>
      <c r="AS17" s="48"/>
      <c r="AT17" s="48"/>
      <c r="AU17" s="48"/>
      <c r="AV17" s="48"/>
      <c r="AW17" s="48"/>
      <c r="AX17" s="48"/>
      <c r="AY17" s="48"/>
      <c r="AZ17" s="48"/>
      <c r="BA17" s="48"/>
      <c r="BB17" s="48"/>
      <c r="BC17" s="48"/>
      <c r="BD17" s="48"/>
      <c r="BE17" s="48"/>
      <c r="BF17" s="48"/>
      <c r="BG17" s="48"/>
      <c r="BH17" s="48"/>
      <c r="BI17" s="48"/>
      <c r="BJ17" s="48"/>
      <c r="BK17" s="47" t="s">
        <v>304</v>
      </c>
      <c r="BL17" s="46"/>
    </row>
    <row r="18" spans="1:64" ht="19.5" customHeight="1" x14ac:dyDescent="0.25">
      <c r="A18" s="35" t="s">
        <v>166</v>
      </c>
      <c r="B18" s="35" t="s">
        <v>501</v>
      </c>
      <c r="C18" s="35" t="s">
        <v>693</v>
      </c>
      <c r="D18" s="43" t="s">
        <v>401</v>
      </c>
      <c r="E18" s="35" t="s">
        <v>694</v>
      </c>
      <c r="F18" s="35" t="s">
        <v>695</v>
      </c>
      <c r="G18" s="35">
        <v>70506</v>
      </c>
      <c r="H18" s="35" t="s">
        <v>696</v>
      </c>
      <c r="I18" s="35" t="s">
        <v>166</v>
      </c>
      <c r="J18" s="35">
        <v>1580</v>
      </c>
      <c r="K18" s="42">
        <v>2040.83</v>
      </c>
      <c r="L18" s="41">
        <v>45597</v>
      </c>
      <c r="M18" s="41">
        <v>47999</v>
      </c>
      <c r="N18" s="35" t="s">
        <v>697</v>
      </c>
      <c r="O18" s="40">
        <v>1382.5</v>
      </c>
      <c r="P18" s="39">
        <v>276.5</v>
      </c>
      <c r="Q18" s="39">
        <v>125.0833333333333</v>
      </c>
      <c r="R18" s="39">
        <v>256.75</v>
      </c>
      <c r="S18" s="39">
        <f t="shared" si="0"/>
        <v>2040.8333333333333</v>
      </c>
      <c r="T18" s="38">
        <v>10.5</v>
      </c>
      <c r="U18" s="38">
        <v>2.1</v>
      </c>
      <c r="V18" s="38">
        <v>0.95</v>
      </c>
      <c r="W18" s="38">
        <v>1.95</v>
      </c>
      <c r="X18" s="38">
        <v>15.5</v>
      </c>
      <c r="Y18" s="38">
        <f t="shared" si="1"/>
        <v>2040.8333333333333</v>
      </c>
      <c r="Z18" s="37">
        <v>1580</v>
      </c>
      <c r="AA18" s="33" t="s">
        <v>741</v>
      </c>
      <c r="AB18" s="33" t="s">
        <v>742</v>
      </c>
      <c r="AC18" s="35" t="s">
        <v>399</v>
      </c>
      <c r="AD18" s="35" t="s">
        <v>400</v>
      </c>
      <c r="AE18" s="33" t="s">
        <v>393</v>
      </c>
      <c r="AF18" s="33" t="s">
        <v>743</v>
      </c>
      <c r="AG18" s="33"/>
      <c r="AH18" s="33"/>
      <c r="AI18" s="33"/>
      <c r="AJ18" s="33"/>
      <c r="AK18" s="33"/>
      <c r="AL18" s="34"/>
      <c r="AM18" s="33"/>
      <c r="AN18" s="33"/>
      <c r="AO18" s="33"/>
      <c r="AP18" s="35"/>
      <c r="AQ18" s="35"/>
      <c r="AR18" s="35"/>
      <c r="AS18" s="34"/>
      <c r="AT18" s="34"/>
      <c r="AU18" s="34"/>
      <c r="AV18" s="34"/>
      <c r="AW18" s="34"/>
      <c r="AX18" s="34"/>
      <c r="AY18" s="34"/>
      <c r="AZ18" s="34"/>
      <c r="BA18" s="34"/>
      <c r="BB18" s="34"/>
      <c r="BC18" s="34"/>
      <c r="BD18" s="34"/>
      <c r="BE18" s="34"/>
      <c r="BF18" s="34"/>
      <c r="BG18" s="34"/>
      <c r="BH18" s="34"/>
      <c r="BI18" s="34"/>
      <c r="BJ18" s="34"/>
      <c r="BK18" s="33" t="s">
        <v>304</v>
      </c>
      <c r="BL18" s="32">
        <v>1580</v>
      </c>
    </row>
    <row r="19" spans="1:64" ht="19.5" customHeight="1" x14ac:dyDescent="0.25">
      <c r="A19" s="35" t="s">
        <v>402</v>
      </c>
      <c r="B19" s="35" t="s">
        <v>501</v>
      </c>
      <c r="C19" s="35" t="s">
        <v>693</v>
      </c>
      <c r="D19" s="43" t="s">
        <v>411</v>
      </c>
      <c r="E19" s="35" t="s">
        <v>694</v>
      </c>
      <c r="F19" s="35" t="s">
        <v>695</v>
      </c>
      <c r="G19" s="35">
        <v>70506</v>
      </c>
      <c r="H19" s="35" t="s">
        <v>696</v>
      </c>
      <c r="I19" s="35" t="s">
        <v>402</v>
      </c>
      <c r="J19" s="35">
        <v>1580</v>
      </c>
      <c r="K19" s="42"/>
      <c r="L19" s="45"/>
      <c r="M19" s="35"/>
      <c r="N19" s="35"/>
      <c r="O19" s="40"/>
      <c r="P19" s="39"/>
      <c r="Q19" s="39">
        <v>0</v>
      </c>
      <c r="R19" s="39">
        <v>0</v>
      </c>
      <c r="S19" s="39">
        <f t="shared" si="0"/>
        <v>0</v>
      </c>
      <c r="T19" s="38">
        <v>0</v>
      </c>
      <c r="U19" s="38">
        <v>0</v>
      </c>
      <c r="V19" s="38">
        <v>0</v>
      </c>
      <c r="W19" s="38">
        <v>0</v>
      </c>
      <c r="X19" s="38">
        <v>0</v>
      </c>
      <c r="Y19" s="38">
        <f t="shared" si="1"/>
        <v>0</v>
      </c>
      <c r="Z19" s="37"/>
      <c r="AA19" s="33" t="s">
        <v>744</v>
      </c>
      <c r="AB19" s="33" t="s">
        <v>745</v>
      </c>
      <c r="AC19" s="35" t="s">
        <v>409</v>
      </c>
      <c r="AD19" s="35" t="s">
        <v>410</v>
      </c>
      <c r="AE19" s="33" t="s">
        <v>404</v>
      </c>
      <c r="AF19" s="33" t="s">
        <v>563</v>
      </c>
      <c r="AG19" s="33"/>
      <c r="AH19" s="33"/>
      <c r="AI19" s="33"/>
      <c r="AJ19" s="33"/>
      <c r="AK19" s="33"/>
      <c r="AL19" s="34"/>
      <c r="AM19" s="33"/>
      <c r="AN19" s="33"/>
      <c r="AO19" s="33"/>
      <c r="AP19" s="35"/>
      <c r="AQ19" s="35"/>
      <c r="AR19" s="35"/>
      <c r="AS19" s="34"/>
      <c r="AT19" s="34"/>
      <c r="AU19" s="34"/>
      <c r="AV19" s="34"/>
      <c r="AW19" s="34"/>
      <c r="AX19" s="34"/>
      <c r="AY19" s="34"/>
      <c r="AZ19" s="34"/>
      <c r="BA19" s="34"/>
      <c r="BB19" s="34"/>
      <c r="BC19" s="34"/>
      <c r="BD19" s="34"/>
      <c r="BE19" s="34"/>
      <c r="BF19" s="34"/>
      <c r="BG19" s="34"/>
      <c r="BH19" s="34"/>
      <c r="BI19" s="34"/>
      <c r="BJ19" s="34"/>
      <c r="BK19" s="33" t="s">
        <v>304</v>
      </c>
      <c r="BL19" s="32"/>
    </row>
    <row r="20" spans="1:64" ht="19.5" customHeight="1" x14ac:dyDescent="0.25">
      <c r="A20" s="35" t="s">
        <v>171</v>
      </c>
      <c r="B20" s="35" t="s">
        <v>501</v>
      </c>
      <c r="C20" s="35" t="s">
        <v>693</v>
      </c>
      <c r="D20" s="43" t="s">
        <v>419</v>
      </c>
      <c r="E20" s="35" t="s">
        <v>694</v>
      </c>
      <c r="F20" s="35" t="s">
        <v>695</v>
      </c>
      <c r="G20" s="35">
        <v>70506</v>
      </c>
      <c r="H20" s="35" t="s">
        <v>696</v>
      </c>
      <c r="I20" s="35" t="s">
        <v>171</v>
      </c>
      <c r="J20" s="35">
        <v>2053</v>
      </c>
      <c r="K20" s="42">
        <v>3165.04</v>
      </c>
      <c r="L20" s="41">
        <v>45931</v>
      </c>
      <c r="M20" s="41">
        <v>47787</v>
      </c>
      <c r="N20" s="35" t="s">
        <v>697</v>
      </c>
      <c r="O20" s="40">
        <v>2309.62</v>
      </c>
      <c r="P20" s="39">
        <v>359.28</v>
      </c>
      <c r="Q20" s="39">
        <v>162.5291666666667</v>
      </c>
      <c r="R20" s="39">
        <v>333.61250000000001</v>
      </c>
      <c r="S20" s="39">
        <f t="shared" si="0"/>
        <v>3165.0416666666665</v>
      </c>
      <c r="T20" s="38">
        <v>13.5</v>
      </c>
      <c r="U20" s="38">
        <v>2.1</v>
      </c>
      <c r="V20" s="38">
        <v>0.95</v>
      </c>
      <c r="W20" s="38">
        <v>1.95</v>
      </c>
      <c r="X20" s="38">
        <v>18.5</v>
      </c>
      <c r="Y20" s="38">
        <f t="shared" si="1"/>
        <v>3165.0416666666665</v>
      </c>
      <c r="Z20" s="37"/>
      <c r="AA20" s="33" t="s">
        <v>746</v>
      </c>
      <c r="AB20" s="33" t="s">
        <v>747</v>
      </c>
      <c r="AC20" s="35" t="s">
        <v>417</v>
      </c>
      <c r="AD20" s="35" t="s">
        <v>418</v>
      </c>
      <c r="AE20" s="33" t="s">
        <v>413</v>
      </c>
      <c r="AF20" s="33" t="s">
        <v>748</v>
      </c>
      <c r="AG20" s="33"/>
      <c r="AH20" s="33"/>
      <c r="AI20" s="33"/>
      <c r="AJ20" s="33"/>
      <c r="AK20" s="33"/>
      <c r="AL20" s="34"/>
      <c r="AM20" s="33"/>
      <c r="AN20" s="33"/>
      <c r="AO20" s="33"/>
      <c r="AP20" s="35"/>
      <c r="AQ20" s="35"/>
      <c r="AR20" s="35"/>
      <c r="AS20" s="34"/>
      <c r="AT20" s="34"/>
      <c r="AU20" s="34"/>
      <c r="AV20" s="34"/>
      <c r="AW20" s="34"/>
      <c r="AX20" s="34"/>
      <c r="AY20" s="34"/>
      <c r="AZ20" s="34"/>
      <c r="BA20" s="34"/>
      <c r="BB20" s="34"/>
      <c r="BC20" s="34"/>
      <c r="BD20" s="34"/>
      <c r="BE20" s="34"/>
      <c r="BF20" s="34"/>
      <c r="BG20" s="34"/>
      <c r="BH20" s="34"/>
      <c r="BI20" s="34"/>
      <c r="BJ20" s="34"/>
      <c r="BK20" s="33" t="s">
        <v>304</v>
      </c>
      <c r="BL20" s="32"/>
    </row>
    <row r="21" spans="1:64" ht="19.5" customHeight="1" x14ac:dyDescent="0.25">
      <c r="A21" s="35" t="s">
        <v>749</v>
      </c>
      <c r="B21" s="35" t="s">
        <v>501</v>
      </c>
      <c r="C21" s="35" t="s">
        <v>693</v>
      </c>
      <c r="D21" s="43" t="s">
        <v>427</v>
      </c>
      <c r="E21" s="35" t="s">
        <v>694</v>
      </c>
      <c r="F21" s="35" t="s">
        <v>695</v>
      </c>
      <c r="G21" s="35">
        <v>70506</v>
      </c>
      <c r="H21" s="35" t="s">
        <v>696</v>
      </c>
      <c r="I21" s="35" t="s">
        <v>749</v>
      </c>
      <c r="J21" s="35">
        <v>3834</v>
      </c>
      <c r="K21" s="42">
        <v>5910.75</v>
      </c>
      <c r="L21" s="41">
        <v>45108</v>
      </c>
      <c r="M21" s="41">
        <v>46507</v>
      </c>
      <c r="N21" s="35" t="s">
        <v>697</v>
      </c>
      <c r="O21" s="40">
        <v>4313.25</v>
      </c>
      <c r="P21" s="39">
        <v>670.95</v>
      </c>
      <c r="Q21" s="39">
        <v>303.52499999999998</v>
      </c>
      <c r="R21" s="39">
        <v>623.02499999999998</v>
      </c>
      <c r="S21" s="39">
        <f t="shared" si="0"/>
        <v>5910.7499999999991</v>
      </c>
      <c r="T21" s="38">
        <v>13.5</v>
      </c>
      <c r="U21" s="38">
        <v>2.1</v>
      </c>
      <c r="V21" s="38">
        <v>0.95</v>
      </c>
      <c r="W21" s="38">
        <v>1.95</v>
      </c>
      <c r="X21" s="38">
        <v>18.5</v>
      </c>
      <c r="Y21" s="38">
        <f t="shared" si="1"/>
        <v>5910.75</v>
      </c>
      <c r="Z21" s="37">
        <v>4313.25</v>
      </c>
      <c r="AA21" s="33" t="s">
        <v>750</v>
      </c>
      <c r="AB21" s="33" t="s">
        <v>747</v>
      </c>
      <c r="AC21" s="35" t="s">
        <v>425</v>
      </c>
      <c r="AD21" s="35" t="s">
        <v>426</v>
      </c>
      <c r="AE21" s="33" t="s">
        <v>421</v>
      </c>
      <c r="AF21" s="33" t="s">
        <v>751</v>
      </c>
      <c r="AG21" s="33"/>
      <c r="AH21" s="33"/>
      <c r="AI21" s="33"/>
      <c r="AJ21" s="33"/>
      <c r="AK21" s="33"/>
      <c r="AL21" s="34"/>
      <c r="AM21" s="33"/>
      <c r="AN21" s="33"/>
      <c r="AO21" s="33"/>
      <c r="AP21" s="35"/>
      <c r="AQ21" s="35"/>
      <c r="AR21" s="35"/>
      <c r="AS21" s="34"/>
      <c r="AT21" s="34"/>
      <c r="AU21" s="34"/>
      <c r="AV21" s="34"/>
      <c r="AW21" s="34"/>
      <c r="AX21" s="34"/>
      <c r="AY21" s="34"/>
      <c r="AZ21" s="34"/>
      <c r="BA21" s="34"/>
      <c r="BB21" s="34"/>
      <c r="BC21" s="34"/>
      <c r="BD21" s="34"/>
      <c r="BE21" s="34"/>
      <c r="BF21" s="34"/>
      <c r="BG21" s="34"/>
      <c r="BH21" s="34"/>
      <c r="BI21" s="34"/>
      <c r="BJ21" s="34"/>
      <c r="BK21" s="33" t="s">
        <v>304</v>
      </c>
      <c r="BL21" s="32">
        <v>4313.25</v>
      </c>
    </row>
    <row r="22" spans="1:64" ht="19.5" customHeight="1" x14ac:dyDescent="0.25">
      <c r="A22" s="35" t="s">
        <v>117</v>
      </c>
      <c r="B22" s="35" t="s">
        <v>501</v>
      </c>
      <c r="C22" s="35" t="s">
        <v>693</v>
      </c>
      <c r="D22" s="43" t="s">
        <v>435</v>
      </c>
      <c r="E22" s="35" t="s">
        <v>694</v>
      </c>
      <c r="F22" s="35" t="s">
        <v>695</v>
      </c>
      <c r="G22" s="35">
        <v>70506</v>
      </c>
      <c r="H22" s="35" t="s">
        <v>696</v>
      </c>
      <c r="I22" s="35" t="s">
        <v>117</v>
      </c>
      <c r="J22" s="35">
        <v>1917</v>
      </c>
      <c r="K22" s="42">
        <v>3187.02</v>
      </c>
      <c r="L22" s="41">
        <v>42248</v>
      </c>
      <c r="M22" s="41">
        <v>46053</v>
      </c>
      <c r="N22" s="35" t="s">
        <v>697</v>
      </c>
      <c r="O22" s="40">
        <v>2556</v>
      </c>
      <c r="P22" s="39">
        <v>335.48</v>
      </c>
      <c r="Q22" s="39">
        <v>135.78749999999999</v>
      </c>
      <c r="R22" s="39">
        <v>159.75</v>
      </c>
      <c r="S22" s="39">
        <f t="shared" si="0"/>
        <v>3187.0174999999999</v>
      </c>
      <c r="T22" s="38">
        <v>16</v>
      </c>
      <c r="U22" s="38">
        <v>2.1</v>
      </c>
      <c r="V22" s="38">
        <v>0.85</v>
      </c>
      <c r="W22" s="38">
        <v>1</v>
      </c>
      <c r="X22" s="38">
        <v>19.95</v>
      </c>
      <c r="Y22" s="38">
        <f t="shared" si="1"/>
        <v>3187.0125000000003</v>
      </c>
      <c r="Z22" s="37"/>
      <c r="AA22" s="33"/>
      <c r="AB22" s="33"/>
      <c r="AC22" s="35" t="s">
        <v>752</v>
      </c>
      <c r="AD22" s="35" t="s">
        <v>434</v>
      </c>
      <c r="AE22" s="33" t="s">
        <v>430</v>
      </c>
      <c r="AF22" s="33" t="s">
        <v>753</v>
      </c>
      <c r="AG22" s="33"/>
      <c r="AH22" s="33"/>
      <c r="AI22" s="33"/>
      <c r="AJ22" s="33"/>
      <c r="AK22" s="33"/>
      <c r="AL22" s="34"/>
      <c r="AM22" s="33"/>
      <c r="AN22" s="33"/>
      <c r="AO22" s="33"/>
      <c r="AP22" s="35"/>
      <c r="AQ22" s="35"/>
      <c r="AR22" s="35"/>
      <c r="AS22" s="34"/>
      <c r="AT22" s="34"/>
      <c r="AU22" s="34"/>
      <c r="AV22" s="34"/>
      <c r="AW22" s="34"/>
      <c r="AX22" s="34"/>
      <c r="AY22" s="34"/>
      <c r="AZ22" s="34"/>
      <c r="BA22" s="34"/>
      <c r="BB22" s="34"/>
      <c r="BC22" s="34"/>
      <c r="BD22" s="34"/>
      <c r="BE22" s="34"/>
      <c r="BF22" s="34"/>
      <c r="BG22" s="34"/>
      <c r="BH22" s="34"/>
      <c r="BI22" s="34"/>
      <c r="BJ22" s="34"/>
      <c r="BK22" s="33" t="s">
        <v>304</v>
      </c>
      <c r="BL22" s="32"/>
    </row>
    <row r="23" spans="1:64" ht="19.5" customHeight="1" x14ac:dyDescent="0.25">
      <c r="A23" s="35" t="s">
        <v>121</v>
      </c>
      <c r="B23" s="35" t="s">
        <v>501</v>
      </c>
      <c r="C23" s="35" t="s">
        <v>693</v>
      </c>
      <c r="D23" s="43" t="s">
        <v>442</v>
      </c>
      <c r="E23" s="35" t="s">
        <v>694</v>
      </c>
      <c r="F23" s="35" t="s">
        <v>695</v>
      </c>
      <c r="G23" s="35">
        <v>70506</v>
      </c>
      <c r="H23" s="35" t="s">
        <v>696</v>
      </c>
      <c r="I23" s="35" t="s">
        <v>121</v>
      </c>
      <c r="J23" s="35">
        <v>1917</v>
      </c>
      <c r="K23" s="42"/>
      <c r="L23" s="45"/>
      <c r="M23" s="41"/>
      <c r="N23" s="35"/>
      <c r="O23" s="40"/>
      <c r="P23" s="39"/>
      <c r="Q23" s="39">
        <v>135.78749999999999</v>
      </c>
      <c r="R23" s="39">
        <v>159.75</v>
      </c>
      <c r="S23" s="39">
        <f t="shared" si="0"/>
        <v>295.53750000000002</v>
      </c>
      <c r="T23" s="38">
        <v>13.5</v>
      </c>
      <c r="U23" s="38">
        <v>2.1</v>
      </c>
      <c r="V23" s="38">
        <v>0.85</v>
      </c>
      <c r="W23" s="38">
        <v>1</v>
      </c>
      <c r="X23" s="38">
        <v>17.45</v>
      </c>
      <c r="Y23" s="38">
        <f t="shared" si="1"/>
        <v>2787.6375000000003</v>
      </c>
      <c r="Z23" s="37"/>
      <c r="AA23" s="33"/>
      <c r="AB23" s="33"/>
      <c r="AC23" s="35" t="s">
        <v>754</v>
      </c>
      <c r="AD23" s="35" t="s">
        <v>755</v>
      </c>
      <c r="AE23" s="44" t="s">
        <v>437</v>
      </c>
      <c r="AF23" s="33" t="s">
        <v>756</v>
      </c>
      <c r="AG23" s="33"/>
      <c r="AH23" s="33"/>
      <c r="AI23" s="33"/>
      <c r="AJ23" s="33"/>
      <c r="AK23" s="33"/>
      <c r="AL23" s="34"/>
      <c r="AM23" s="33"/>
      <c r="AN23" s="33"/>
      <c r="AO23" s="33"/>
      <c r="AP23" s="35"/>
      <c r="AQ23" s="35"/>
      <c r="AR23" s="35"/>
      <c r="AS23" s="34"/>
      <c r="AT23" s="34"/>
      <c r="AU23" s="34"/>
      <c r="AV23" s="34"/>
      <c r="AW23" s="34"/>
      <c r="AX23" s="34"/>
      <c r="AY23" s="34"/>
      <c r="AZ23" s="34"/>
      <c r="BA23" s="34"/>
      <c r="BB23" s="34"/>
      <c r="BC23" s="34"/>
      <c r="BD23" s="34"/>
      <c r="BE23" s="34"/>
      <c r="BF23" s="34"/>
      <c r="BG23" s="34"/>
      <c r="BH23" s="34"/>
      <c r="BI23" s="34"/>
      <c r="BJ23" s="34"/>
      <c r="BK23" s="33" t="s">
        <v>304</v>
      </c>
      <c r="BL23" s="32"/>
    </row>
    <row r="24" spans="1:64" ht="19.5" customHeight="1" x14ac:dyDescent="0.25">
      <c r="A24" s="35" t="s">
        <v>127</v>
      </c>
      <c r="B24" s="35" t="s">
        <v>501</v>
      </c>
      <c r="C24" s="35" t="s">
        <v>693</v>
      </c>
      <c r="D24" s="43" t="s">
        <v>452</v>
      </c>
      <c r="E24" s="35" t="s">
        <v>694</v>
      </c>
      <c r="F24" s="35" t="s">
        <v>695</v>
      </c>
      <c r="G24" s="35">
        <v>70506</v>
      </c>
      <c r="H24" s="35" t="s">
        <v>696</v>
      </c>
      <c r="I24" s="35" t="s">
        <v>127</v>
      </c>
      <c r="J24" s="35">
        <v>4613</v>
      </c>
      <c r="K24" s="42">
        <v>7765.22</v>
      </c>
      <c r="L24" s="41">
        <v>36707</v>
      </c>
      <c r="M24" s="41">
        <v>47787</v>
      </c>
      <c r="N24" s="35" t="s">
        <v>697</v>
      </c>
      <c r="O24" s="40">
        <v>6246.77</v>
      </c>
      <c r="P24" s="39">
        <v>807.28</v>
      </c>
      <c r="Q24" s="39">
        <v>326.75416666666672</v>
      </c>
      <c r="R24" s="39">
        <v>384.41666666666669</v>
      </c>
      <c r="S24" s="39">
        <f t="shared" si="0"/>
        <v>7765.2208333333338</v>
      </c>
      <c r="T24" s="38">
        <v>16.25</v>
      </c>
      <c r="U24" s="38">
        <v>2.1</v>
      </c>
      <c r="V24" s="38">
        <v>0.85</v>
      </c>
      <c r="W24" s="38">
        <v>1</v>
      </c>
      <c r="X24" s="38">
        <v>20.2</v>
      </c>
      <c r="Y24" s="38">
        <f t="shared" si="1"/>
        <v>7765.2166666666662</v>
      </c>
      <c r="Z24" s="37"/>
      <c r="AA24" s="33" t="s">
        <v>757</v>
      </c>
      <c r="AB24" s="33" t="s">
        <v>758</v>
      </c>
      <c r="AC24" s="36" t="s">
        <v>759</v>
      </c>
      <c r="AD24" s="35" t="s">
        <v>451</v>
      </c>
      <c r="AE24" s="33" t="s">
        <v>444</v>
      </c>
      <c r="AF24" s="33" t="s">
        <v>760</v>
      </c>
      <c r="AG24" s="33"/>
      <c r="AH24" s="33"/>
      <c r="AI24" s="33"/>
      <c r="AJ24" s="33"/>
      <c r="AK24" s="33"/>
      <c r="AL24" s="34"/>
      <c r="AM24" s="33"/>
      <c r="AN24" s="33"/>
      <c r="AO24" s="33"/>
      <c r="AP24" s="35"/>
      <c r="AQ24" s="35"/>
      <c r="AR24" s="35"/>
      <c r="AS24" s="34"/>
      <c r="AT24" s="34"/>
      <c r="AU24" s="34"/>
      <c r="AV24" s="34"/>
      <c r="AW24" s="34"/>
      <c r="AX24" s="34"/>
      <c r="AY24" s="34"/>
      <c r="AZ24" s="34"/>
      <c r="BA24" s="34"/>
      <c r="BB24" s="34"/>
      <c r="BC24" s="34"/>
      <c r="BD24" s="34"/>
      <c r="BE24" s="34"/>
      <c r="BF24" s="34"/>
      <c r="BG24" s="34"/>
      <c r="BH24" s="34"/>
      <c r="BI24" s="34"/>
      <c r="BJ24" s="34"/>
      <c r="BK24" s="33" t="s">
        <v>304</v>
      </c>
      <c r="BL24" s="32"/>
    </row>
    <row r="25" spans="1:64" ht="19.5" customHeight="1" x14ac:dyDescent="0.25">
      <c r="A25" s="29"/>
      <c r="B25" s="29"/>
      <c r="C25" s="29"/>
      <c r="D25" s="29"/>
      <c r="E25" s="29"/>
      <c r="F25" s="29"/>
      <c r="G25" s="29"/>
      <c r="H25" s="29"/>
      <c r="I25" s="29"/>
      <c r="J25" s="29"/>
      <c r="K25" s="30"/>
      <c r="L25" s="31"/>
      <c r="M25" s="29"/>
      <c r="N25" s="29"/>
      <c r="O25" s="30"/>
      <c r="P25" s="27"/>
      <c r="Q25" s="27"/>
      <c r="R25" s="26"/>
      <c r="S25" s="27"/>
      <c r="T25" s="27"/>
      <c r="U25" s="27"/>
      <c r="V25" s="27"/>
      <c r="W25" s="27"/>
      <c r="X25" s="26"/>
      <c r="Y25" s="26"/>
      <c r="Z25" s="26"/>
      <c r="AA25" s="27"/>
      <c r="AB25" s="27"/>
      <c r="AC25" s="29"/>
      <c r="AD25" s="29"/>
      <c r="AE25" s="27"/>
      <c r="AF25" s="27"/>
      <c r="AG25" s="27"/>
      <c r="AH25" s="27"/>
      <c r="AI25" s="27"/>
      <c r="AJ25" s="27"/>
      <c r="AK25" s="27"/>
      <c r="AL25" s="28"/>
      <c r="AM25" s="27"/>
      <c r="AN25" s="27"/>
      <c r="AO25" s="27"/>
      <c r="AP25" s="29"/>
      <c r="AQ25" s="29"/>
      <c r="AR25" s="29"/>
      <c r="AS25" s="28"/>
      <c r="AT25" s="28"/>
      <c r="AU25" s="28"/>
      <c r="AV25" s="28"/>
      <c r="AW25" s="28"/>
      <c r="AX25" s="28"/>
      <c r="AY25" s="28"/>
      <c r="AZ25" s="28"/>
      <c r="BA25" s="28"/>
      <c r="BB25" s="28"/>
      <c r="BC25" s="28"/>
      <c r="BD25" s="28"/>
      <c r="BE25" s="28"/>
      <c r="BF25" s="28"/>
      <c r="BG25" s="28"/>
      <c r="BH25" s="28"/>
      <c r="BI25" s="28"/>
      <c r="BJ25" s="28"/>
      <c r="BK25" s="27"/>
      <c r="BL25" s="26"/>
    </row>
    <row r="26" spans="1:64" ht="19.5" customHeight="1" x14ac:dyDescent="0.25">
      <c r="A26" s="20"/>
      <c r="B26" s="20"/>
      <c r="C26" s="20"/>
      <c r="D26" s="20"/>
      <c r="E26" s="20"/>
      <c r="F26" s="20"/>
      <c r="G26" s="20"/>
      <c r="H26" s="20"/>
      <c r="I26" s="20"/>
      <c r="J26" s="20"/>
      <c r="K26" s="19"/>
      <c r="L26" s="24"/>
      <c r="M26" s="20"/>
      <c r="N26" s="20"/>
      <c r="O26" s="19"/>
      <c r="P26" s="25"/>
      <c r="Q26" s="25"/>
      <c r="R26" s="16"/>
      <c r="S26" s="25"/>
      <c r="T26" s="25"/>
      <c r="U26" s="25"/>
      <c r="V26" s="25"/>
      <c r="W26" s="25"/>
      <c r="X26" s="16"/>
      <c r="Y26" s="16"/>
      <c r="Z26" s="16"/>
      <c r="AA26" s="25"/>
      <c r="AB26" s="25"/>
      <c r="AC26" s="20"/>
      <c r="AD26" s="20"/>
      <c r="AE26" s="25"/>
      <c r="AF26" s="25"/>
      <c r="AG26" s="25"/>
      <c r="AH26" s="25"/>
      <c r="AI26" s="25"/>
      <c r="AJ26" s="25"/>
      <c r="AK26" s="25"/>
      <c r="AL26" s="15"/>
      <c r="AM26" s="25"/>
      <c r="AN26" s="25"/>
      <c r="AO26" s="25"/>
      <c r="AP26" s="20"/>
      <c r="AQ26" s="20"/>
      <c r="AR26" s="20"/>
      <c r="AS26" s="15"/>
      <c r="AT26" s="15"/>
      <c r="AU26" s="15"/>
      <c r="AV26" s="15"/>
      <c r="AW26" s="15"/>
      <c r="AX26" s="15"/>
      <c r="AY26" s="15"/>
      <c r="AZ26" s="15"/>
      <c r="BA26" s="15"/>
      <c r="BB26" s="15"/>
      <c r="BC26" s="15"/>
      <c r="BD26" s="15"/>
      <c r="BE26" s="15"/>
      <c r="BF26" s="15"/>
      <c r="BG26" s="15"/>
      <c r="BH26" s="15"/>
      <c r="BI26" s="15"/>
      <c r="BJ26" s="15"/>
      <c r="BK26" s="25"/>
      <c r="BL26" s="16"/>
    </row>
    <row r="27" spans="1:64" ht="19.5" customHeight="1" x14ac:dyDescent="0.25">
      <c r="A27" s="20"/>
      <c r="B27" s="20"/>
      <c r="C27" s="20"/>
      <c r="D27" s="20"/>
      <c r="E27" s="20"/>
      <c r="F27" s="20"/>
      <c r="G27" s="20"/>
      <c r="H27" s="20"/>
      <c r="I27" s="20"/>
      <c r="J27" s="20"/>
      <c r="K27" s="19"/>
      <c r="L27" s="24"/>
      <c r="M27" s="20"/>
      <c r="N27" s="20"/>
      <c r="O27" s="19"/>
      <c r="P27" s="25"/>
      <c r="Q27" s="25"/>
      <c r="R27" s="16"/>
      <c r="S27" s="25"/>
      <c r="T27" s="25"/>
      <c r="U27" s="25"/>
      <c r="V27" s="25"/>
      <c r="W27" s="25"/>
      <c r="X27" s="16"/>
      <c r="Y27" s="16"/>
      <c r="Z27" s="16"/>
      <c r="AA27" s="25"/>
      <c r="AB27" s="25"/>
      <c r="AC27" s="20"/>
      <c r="AD27" s="20"/>
      <c r="AE27" s="25"/>
      <c r="AF27" s="25"/>
      <c r="AG27" s="25"/>
      <c r="AH27" s="25"/>
      <c r="AI27" s="25"/>
      <c r="AJ27" s="25"/>
      <c r="AK27" s="25"/>
      <c r="AL27" s="15"/>
      <c r="AM27" s="25"/>
      <c r="AN27" s="25"/>
      <c r="AO27" s="25"/>
      <c r="AP27" s="20"/>
      <c r="AQ27" s="20"/>
      <c r="AR27" s="20"/>
      <c r="AS27" s="15"/>
      <c r="AT27" s="15"/>
      <c r="AU27" s="15"/>
      <c r="AV27" s="15"/>
      <c r="AW27" s="15"/>
      <c r="AX27" s="15"/>
      <c r="AY27" s="15"/>
      <c r="AZ27" s="15"/>
      <c r="BA27" s="15"/>
      <c r="BB27" s="15"/>
      <c r="BC27" s="15"/>
      <c r="BD27" s="15"/>
      <c r="BE27" s="15"/>
      <c r="BF27" s="15"/>
      <c r="BG27" s="15"/>
      <c r="BH27" s="15"/>
      <c r="BI27" s="15"/>
      <c r="BJ27" s="15"/>
      <c r="BK27" s="25"/>
      <c r="BL27" s="16"/>
    </row>
    <row r="28" spans="1:64" ht="19.5" customHeight="1" x14ac:dyDescent="0.25">
      <c r="A28" s="20"/>
      <c r="B28" s="20"/>
      <c r="C28" s="20"/>
      <c r="D28" s="20"/>
      <c r="E28" s="20"/>
      <c r="F28" s="20"/>
      <c r="G28" s="20"/>
      <c r="H28" s="20"/>
      <c r="I28" s="20"/>
      <c r="J28" s="20"/>
      <c r="K28" s="19"/>
      <c r="L28" s="24"/>
      <c r="M28" s="20"/>
      <c r="N28" s="20"/>
      <c r="O28" s="19"/>
      <c r="P28" s="25"/>
      <c r="Q28" s="25"/>
      <c r="R28" s="16"/>
      <c r="S28" s="25"/>
      <c r="T28" s="25"/>
      <c r="U28" s="25"/>
      <c r="V28" s="25"/>
      <c r="W28" s="25"/>
      <c r="X28" s="16"/>
      <c r="Y28" s="16"/>
      <c r="Z28" s="16"/>
      <c r="AA28" s="25"/>
      <c r="AB28" s="25"/>
      <c r="AC28" s="20"/>
      <c r="AD28" s="20"/>
      <c r="AE28" s="25"/>
      <c r="AF28" s="25"/>
      <c r="AG28" s="25"/>
      <c r="AH28" s="25"/>
      <c r="AI28" s="25"/>
      <c r="AJ28" s="25"/>
      <c r="AK28" s="25"/>
      <c r="AL28" s="15"/>
      <c r="AM28" s="25"/>
      <c r="AN28" s="25"/>
      <c r="AO28" s="25"/>
      <c r="AP28" s="20"/>
      <c r="AQ28" s="20"/>
      <c r="AR28" s="20"/>
      <c r="AS28" s="15"/>
      <c r="AT28" s="15"/>
      <c r="AU28" s="15"/>
      <c r="AV28" s="15"/>
      <c r="AW28" s="15"/>
      <c r="AX28" s="15"/>
      <c r="AY28" s="15"/>
      <c r="AZ28" s="15"/>
      <c r="BA28" s="15"/>
      <c r="BB28" s="15"/>
      <c r="BC28" s="15"/>
      <c r="BD28" s="15"/>
      <c r="BE28" s="15"/>
      <c r="BF28" s="15"/>
      <c r="BG28" s="15"/>
      <c r="BH28" s="15"/>
      <c r="BI28" s="15"/>
      <c r="BJ28" s="15"/>
      <c r="BK28" s="25"/>
      <c r="BL28" s="16"/>
    </row>
    <row r="29" spans="1:64" ht="19.5" customHeight="1" x14ac:dyDescent="0.25">
      <c r="A29" s="20"/>
      <c r="B29" s="20"/>
      <c r="C29" s="20"/>
      <c r="D29" s="20"/>
      <c r="E29" s="20"/>
      <c r="F29" s="20"/>
      <c r="G29" s="20"/>
      <c r="H29" s="20"/>
      <c r="I29" s="20"/>
      <c r="J29" s="20"/>
      <c r="K29" s="19"/>
      <c r="L29" s="24"/>
      <c r="M29" s="20"/>
      <c r="N29" s="20"/>
      <c r="O29" s="19"/>
      <c r="P29" s="25"/>
      <c r="Q29" s="25"/>
      <c r="R29" s="16"/>
      <c r="S29" s="25"/>
      <c r="T29" s="25"/>
      <c r="U29" s="25"/>
      <c r="V29" s="25"/>
      <c r="W29" s="25"/>
      <c r="X29" s="16"/>
      <c r="Y29" s="16"/>
      <c r="Z29" s="16"/>
      <c r="AA29" s="25"/>
      <c r="AB29" s="25"/>
      <c r="AC29" s="20"/>
      <c r="AD29" s="20"/>
      <c r="AE29" s="25"/>
      <c r="AF29" s="25"/>
      <c r="AG29" s="25"/>
      <c r="AH29" s="25"/>
      <c r="AI29" s="25"/>
      <c r="AJ29" s="25"/>
      <c r="AK29" s="25"/>
      <c r="AL29" s="15"/>
      <c r="AM29" s="25"/>
      <c r="AN29" s="25"/>
      <c r="AO29" s="25"/>
      <c r="AP29" s="20"/>
      <c r="AQ29" s="20"/>
      <c r="AR29" s="20"/>
      <c r="AS29" s="15"/>
      <c r="AT29" s="15"/>
      <c r="AU29" s="15"/>
      <c r="AV29" s="15"/>
      <c r="AW29" s="15"/>
      <c r="AX29" s="15"/>
      <c r="AY29" s="15"/>
      <c r="AZ29" s="15"/>
      <c r="BA29" s="15"/>
      <c r="BB29" s="15"/>
      <c r="BC29" s="15"/>
      <c r="BD29" s="15"/>
      <c r="BE29" s="15"/>
      <c r="BF29" s="15"/>
      <c r="BG29" s="15"/>
      <c r="BH29" s="15"/>
      <c r="BI29" s="15"/>
      <c r="BJ29" s="15"/>
      <c r="BK29" s="25"/>
      <c r="BL29" s="16"/>
    </row>
    <row r="30" spans="1:64" ht="19.5" customHeight="1" x14ac:dyDescent="0.25">
      <c r="A30" s="20"/>
      <c r="B30" s="20"/>
      <c r="C30" s="20"/>
      <c r="D30" s="20"/>
      <c r="E30" s="20"/>
      <c r="F30" s="20"/>
      <c r="G30" s="20"/>
      <c r="H30" s="20"/>
      <c r="I30" s="20"/>
      <c r="J30" s="20"/>
      <c r="K30" s="19"/>
      <c r="L30" s="24"/>
      <c r="M30" s="20"/>
      <c r="N30" s="20"/>
      <c r="O30" s="19"/>
      <c r="P30" s="25"/>
      <c r="Q30" s="25"/>
      <c r="R30" s="16"/>
      <c r="S30" s="25"/>
      <c r="T30" s="25"/>
      <c r="U30" s="25"/>
      <c r="V30" s="25"/>
      <c r="W30" s="25"/>
      <c r="X30" s="16"/>
      <c r="Y30" s="16"/>
      <c r="Z30" s="16"/>
      <c r="AA30" s="25"/>
      <c r="AB30" s="25"/>
      <c r="AC30" s="20"/>
      <c r="AD30" s="20"/>
      <c r="AE30" s="25"/>
      <c r="AF30" s="25"/>
      <c r="AG30" s="25"/>
      <c r="AH30" s="25"/>
      <c r="AI30" s="25"/>
      <c r="AJ30" s="25"/>
      <c r="AK30" s="25"/>
      <c r="AL30" s="15"/>
      <c r="AM30" s="25"/>
      <c r="AN30" s="25"/>
      <c r="AO30" s="25"/>
      <c r="AP30" s="20"/>
      <c r="AQ30" s="20"/>
      <c r="AR30" s="20"/>
      <c r="AS30" s="15"/>
      <c r="AT30" s="15"/>
      <c r="AU30" s="15"/>
      <c r="AV30" s="15"/>
      <c r="AW30" s="15"/>
      <c r="AX30" s="15"/>
      <c r="AY30" s="15"/>
      <c r="AZ30" s="15"/>
      <c r="BA30" s="15"/>
      <c r="BB30" s="15"/>
      <c r="BC30" s="15"/>
      <c r="BD30" s="15"/>
      <c r="BE30" s="15"/>
      <c r="BF30" s="15"/>
      <c r="BG30" s="15"/>
      <c r="BH30" s="15"/>
      <c r="BI30" s="15"/>
      <c r="BJ30" s="15"/>
      <c r="BK30" s="25"/>
      <c r="BL30" s="16"/>
    </row>
    <row r="31" spans="1:64" ht="19.5" customHeight="1" x14ac:dyDescent="0.25">
      <c r="A31" s="20"/>
      <c r="B31" s="20"/>
      <c r="C31" s="20"/>
      <c r="D31" s="20"/>
      <c r="E31" s="20"/>
      <c r="F31" s="20"/>
      <c r="G31" s="20"/>
      <c r="H31" s="20"/>
      <c r="I31" s="20"/>
      <c r="J31" s="20"/>
      <c r="K31" s="19"/>
      <c r="L31" s="24"/>
      <c r="M31" s="20"/>
      <c r="N31" s="20"/>
      <c r="O31" s="19"/>
      <c r="P31" s="25"/>
      <c r="Q31" s="25"/>
      <c r="R31" s="16"/>
      <c r="S31" s="25"/>
      <c r="T31" s="25"/>
      <c r="U31" s="25"/>
      <c r="V31" s="25"/>
      <c r="W31" s="25"/>
      <c r="X31" s="16"/>
      <c r="Y31" s="16"/>
      <c r="Z31" s="16"/>
      <c r="AA31" s="25"/>
      <c r="AB31" s="25"/>
      <c r="AC31" s="20"/>
      <c r="AD31" s="20"/>
      <c r="AE31" s="25"/>
      <c r="AF31" s="25"/>
      <c r="AG31" s="25"/>
      <c r="AH31" s="25"/>
      <c r="AI31" s="25"/>
      <c r="AJ31" s="25"/>
      <c r="AK31" s="25"/>
      <c r="AL31" s="15"/>
      <c r="AM31" s="25"/>
      <c r="AN31" s="25"/>
      <c r="AO31" s="25"/>
      <c r="AP31" s="20"/>
      <c r="AQ31" s="20"/>
      <c r="AR31" s="20"/>
      <c r="AS31" s="15"/>
      <c r="AT31" s="15"/>
      <c r="AU31" s="15"/>
      <c r="AV31" s="15"/>
      <c r="AW31" s="15"/>
      <c r="AX31" s="15"/>
      <c r="AY31" s="15"/>
      <c r="AZ31" s="15"/>
      <c r="BA31" s="15"/>
      <c r="BB31" s="15"/>
      <c r="BC31" s="15"/>
      <c r="BD31" s="15"/>
      <c r="BE31" s="15"/>
      <c r="BF31" s="15"/>
      <c r="BG31" s="15"/>
      <c r="BH31" s="15"/>
      <c r="BI31" s="15"/>
      <c r="BJ31" s="15"/>
      <c r="BK31" s="25"/>
      <c r="BL31" s="16"/>
    </row>
    <row r="32" spans="1:64" ht="19.5" customHeight="1" x14ac:dyDescent="0.25">
      <c r="A32" s="20"/>
      <c r="B32" s="20"/>
      <c r="C32" s="20"/>
      <c r="D32" s="20"/>
      <c r="E32" s="20"/>
      <c r="F32" s="20"/>
      <c r="G32" s="20"/>
      <c r="H32" s="20"/>
      <c r="I32" s="20"/>
      <c r="J32" s="20"/>
      <c r="K32" s="19"/>
      <c r="L32" s="24"/>
      <c r="M32" s="20"/>
      <c r="N32" s="20"/>
      <c r="O32" s="19"/>
      <c r="P32" s="25"/>
      <c r="Q32" s="25"/>
      <c r="R32" s="16"/>
      <c r="S32" s="25"/>
      <c r="T32" s="25"/>
      <c r="U32" s="25"/>
      <c r="V32" s="25"/>
      <c r="W32" s="25"/>
      <c r="X32" s="16"/>
      <c r="Y32" s="16"/>
      <c r="Z32" s="16"/>
      <c r="AA32" s="25"/>
      <c r="AB32" s="25"/>
      <c r="AC32" s="20"/>
      <c r="AD32" s="20"/>
      <c r="AE32" s="25"/>
      <c r="AF32" s="25"/>
      <c r="AG32" s="25"/>
      <c r="AH32" s="25"/>
      <c r="AI32" s="25"/>
      <c r="AJ32" s="25"/>
      <c r="AK32" s="25"/>
      <c r="AL32" s="15"/>
      <c r="AM32" s="25"/>
      <c r="AN32" s="25"/>
      <c r="AO32" s="25"/>
      <c r="AP32" s="20"/>
      <c r="AQ32" s="20"/>
      <c r="AR32" s="20"/>
      <c r="AS32" s="15"/>
      <c r="AT32" s="15"/>
      <c r="AU32" s="15"/>
      <c r="AV32" s="15"/>
      <c r="AW32" s="15"/>
      <c r="AX32" s="15"/>
      <c r="AY32" s="15"/>
      <c r="AZ32" s="15"/>
      <c r="BA32" s="15"/>
      <c r="BB32" s="15"/>
      <c r="BC32" s="15"/>
      <c r="BD32" s="15"/>
      <c r="BE32" s="15"/>
      <c r="BF32" s="15"/>
      <c r="BG32" s="15"/>
      <c r="BH32" s="15"/>
      <c r="BI32" s="15"/>
      <c r="BJ32" s="15"/>
      <c r="BK32" s="25"/>
      <c r="BL32" s="16"/>
    </row>
    <row r="33" spans="1:64" ht="19.5" customHeight="1" x14ac:dyDescent="0.25">
      <c r="A33" s="20"/>
      <c r="B33" s="20"/>
      <c r="C33" s="20"/>
      <c r="D33" s="20"/>
      <c r="E33" s="20"/>
      <c r="F33" s="20"/>
      <c r="G33" s="20"/>
      <c r="H33" s="20"/>
      <c r="I33" s="20"/>
      <c r="J33" s="20"/>
      <c r="K33" s="19"/>
      <c r="L33" s="24"/>
      <c r="M33" s="20"/>
      <c r="N33" s="20"/>
      <c r="O33" s="19"/>
      <c r="P33" s="25"/>
      <c r="Q33" s="25"/>
      <c r="R33" s="16"/>
      <c r="S33" s="25"/>
      <c r="T33" s="25"/>
      <c r="U33" s="25"/>
      <c r="V33" s="25"/>
      <c r="W33" s="25"/>
      <c r="X33" s="16"/>
      <c r="Y33" s="16"/>
      <c r="Z33" s="16"/>
      <c r="AA33" s="25"/>
      <c r="AB33" s="25"/>
      <c r="AC33" s="20"/>
      <c r="AD33" s="20"/>
      <c r="AE33" s="25"/>
      <c r="AF33" s="25"/>
      <c r="AG33" s="25"/>
      <c r="AH33" s="25"/>
      <c r="AI33" s="25"/>
      <c r="AJ33" s="25"/>
      <c r="AK33" s="25"/>
      <c r="AL33" s="15"/>
      <c r="AM33" s="25"/>
      <c r="AN33" s="25"/>
      <c r="AO33" s="25"/>
      <c r="AP33" s="20"/>
      <c r="AQ33" s="20"/>
      <c r="AR33" s="20"/>
      <c r="AS33" s="15"/>
      <c r="AT33" s="15"/>
      <c r="AU33" s="15"/>
      <c r="AV33" s="15"/>
      <c r="AW33" s="15"/>
      <c r="AX33" s="15"/>
      <c r="AY33" s="15"/>
      <c r="AZ33" s="15"/>
      <c r="BA33" s="15"/>
      <c r="BB33" s="15"/>
      <c r="BC33" s="15"/>
      <c r="BD33" s="15"/>
      <c r="BE33" s="15"/>
      <c r="BF33" s="15"/>
      <c r="BG33" s="15"/>
      <c r="BH33" s="15"/>
      <c r="BI33" s="15"/>
      <c r="BJ33" s="15"/>
      <c r="BK33" s="25"/>
      <c r="BL33" s="16"/>
    </row>
    <row r="34" spans="1:64" ht="19.5" customHeight="1" x14ac:dyDescent="0.25">
      <c r="A34" s="20"/>
      <c r="B34" s="20"/>
      <c r="C34" s="20"/>
      <c r="D34" s="20"/>
      <c r="E34" s="20"/>
      <c r="F34" s="20"/>
      <c r="G34" s="20"/>
      <c r="H34" s="20"/>
      <c r="I34" s="20"/>
      <c r="J34" s="20"/>
      <c r="K34" s="19"/>
      <c r="L34" s="24"/>
      <c r="M34" s="20"/>
      <c r="N34" s="20"/>
      <c r="O34" s="19"/>
      <c r="P34" s="25"/>
      <c r="Q34" s="25"/>
      <c r="R34" s="16"/>
      <c r="S34" s="25"/>
      <c r="T34" s="25"/>
      <c r="U34" s="25"/>
      <c r="V34" s="25"/>
      <c r="W34" s="25"/>
      <c r="X34" s="16"/>
      <c r="Y34" s="16"/>
      <c r="Z34" s="16"/>
      <c r="AA34" s="25"/>
      <c r="AB34" s="25"/>
      <c r="AC34" s="20"/>
      <c r="AD34" s="20"/>
      <c r="AE34" s="25"/>
      <c r="AF34" s="25"/>
      <c r="AG34" s="25"/>
      <c r="AH34" s="25"/>
      <c r="AI34" s="25"/>
      <c r="AJ34" s="25"/>
      <c r="AK34" s="25"/>
      <c r="AL34" s="15"/>
      <c r="AM34" s="25"/>
      <c r="AN34" s="25"/>
      <c r="AO34" s="25"/>
      <c r="AP34" s="20"/>
      <c r="AQ34" s="20"/>
      <c r="AR34" s="20"/>
      <c r="AS34" s="15"/>
      <c r="AT34" s="15"/>
      <c r="AU34" s="15"/>
      <c r="AV34" s="15"/>
      <c r="AW34" s="15"/>
      <c r="AX34" s="15"/>
      <c r="AY34" s="15"/>
      <c r="AZ34" s="15"/>
      <c r="BA34" s="15"/>
      <c r="BB34" s="15"/>
      <c r="BC34" s="15"/>
      <c r="BD34" s="15"/>
      <c r="BE34" s="15"/>
      <c r="BF34" s="15"/>
      <c r="BG34" s="15"/>
      <c r="BH34" s="15"/>
      <c r="BI34" s="15"/>
      <c r="BJ34" s="15"/>
      <c r="BK34" s="25"/>
      <c r="BL34" s="16"/>
    </row>
    <row r="35" spans="1:64" ht="19.5" customHeight="1" x14ac:dyDescent="0.25">
      <c r="A35" s="20"/>
      <c r="B35" s="20"/>
      <c r="C35" s="20"/>
      <c r="D35" s="20"/>
      <c r="E35" s="20"/>
      <c r="F35" s="20"/>
      <c r="G35" s="20"/>
      <c r="H35" s="20"/>
      <c r="I35" s="20"/>
      <c r="J35" s="20"/>
      <c r="K35" s="19"/>
      <c r="L35" s="24"/>
      <c r="M35" s="20"/>
      <c r="N35" s="20"/>
      <c r="O35" s="19"/>
      <c r="P35" s="25"/>
      <c r="Q35" s="25"/>
      <c r="R35" s="16"/>
      <c r="S35" s="25"/>
      <c r="T35" s="25"/>
      <c r="U35" s="25"/>
      <c r="V35" s="25"/>
      <c r="W35" s="25"/>
      <c r="X35" s="16"/>
      <c r="Y35" s="16"/>
      <c r="Z35" s="16"/>
      <c r="AA35" s="25"/>
      <c r="AB35" s="25"/>
      <c r="AC35" s="20"/>
      <c r="AD35" s="20"/>
      <c r="AE35" s="25"/>
      <c r="AF35" s="25"/>
      <c r="AG35" s="25"/>
      <c r="AH35" s="25"/>
      <c r="AI35" s="25"/>
      <c r="AJ35" s="25"/>
      <c r="AK35" s="25"/>
      <c r="AL35" s="15"/>
      <c r="AM35" s="25"/>
      <c r="AN35" s="25"/>
      <c r="AO35" s="25"/>
      <c r="AP35" s="20"/>
      <c r="AQ35" s="20"/>
      <c r="AR35" s="20"/>
      <c r="AS35" s="15"/>
      <c r="AT35" s="15"/>
      <c r="AU35" s="15"/>
      <c r="AV35" s="15"/>
      <c r="AW35" s="15"/>
      <c r="AX35" s="15"/>
      <c r="AY35" s="15"/>
      <c r="AZ35" s="15"/>
      <c r="BA35" s="15"/>
      <c r="BB35" s="15"/>
      <c r="BC35" s="15"/>
      <c r="BD35" s="15"/>
      <c r="BE35" s="15"/>
      <c r="BF35" s="15"/>
      <c r="BG35" s="15"/>
      <c r="BH35" s="15"/>
      <c r="BI35" s="15"/>
      <c r="BJ35" s="15"/>
      <c r="BK35" s="25"/>
      <c r="BL35" s="16"/>
    </row>
    <row r="36" spans="1:64" ht="19.5" customHeight="1" x14ac:dyDescent="0.25">
      <c r="A36" s="20"/>
      <c r="B36" s="20"/>
      <c r="C36" s="20"/>
      <c r="D36" s="20"/>
      <c r="E36" s="20"/>
      <c r="F36" s="20"/>
      <c r="G36" s="20"/>
      <c r="H36" s="20"/>
      <c r="I36" s="20"/>
      <c r="J36" s="20"/>
      <c r="K36" s="19"/>
      <c r="L36" s="24"/>
      <c r="M36" s="20"/>
      <c r="N36" s="20"/>
      <c r="O36" s="19"/>
      <c r="P36" s="25"/>
      <c r="Q36" s="25"/>
      <c r="R36" s="16"/>
      <c r="S36" s="25"/>
      <c r="T36" s="25"/>
      <c r="U36" s="25"/>
      <c r="V36" s="25"/>
      <c r="W36" s="25"/>
      <c r="X36" s="16"/>
      <c r="Y36" s="16"/>
      <c r="Z36" s="16"/>
      <c r="AA36" s="25"/>
      <c r="AB36" s="25"/>
      <c r="AC36" s="20"/>
      <c r="AD36" s="20"/>
      <c r="AE36" s="25"/>
      <c r="AF36" s="25"/>
      <c r="AG36" s="25"/>
      <c r="AH36" s="25"/>
      <c r="AI36" s="25"/>
      <c r="AJ36" s="25"/>
      <c r="AK36" s="25"/>
      <c r="AL36" s="15"/>
      <c r="AM36" s="25"/>
      <c r="AN36" s="25"/>
      <c r="AO36" s="25"/>
      <c r="AP36" s="20"/>
      <c r="AQ36" s="20"/>
      <c r="AR36" s="20"/>
      <c r="AS36" s="15"/>
      <c r="AT36" s="15"/>
      <c r="AU36" s="15"/>
      <c r="AV36" s="15"/>
      <c r="AW36" s="15"/>
      <c r="AX36" s="15"/>
      <c r="AY36" s="15"/>
      <c r="AZ36" s="15"/>
      <c r="BA36" s="15"/>
      <c r="BB36" s="15"/>
      <c r="BC36" s="15"/>
      <c r="BD36" s="15"/>
      <c r="BE36" s="15"/>
      <c r="BF36" s="15"/>
      <c r="BG36" s="15"/>
      <c r="BH36" s="15"/>
      <c r="BI36" s="15"/>
      <c r="BJ36" s="15"/>
      <c r="BK36" s="25"/>
      <c r="BL36" s="16"/>
    </row>
    <row r="37" spans="1:64" ht="19.5" customHeight="1" x14ac:dyDescent="0.25">
      <c r="A37" s="20"/>
      <c r="B37" s="20"/>
      <c r="C37" s="20"/>
      <c r="D37" s="20"/>
      <c r="E37" s="20"/>
      <c r="F37" s="20"/>
      <c r="G37" s="20"/>
      <c r="H37" s="20"/>
      <c r="I37" s="20"/>
      <c r="J37" s="20"/>
      <c r="K37" s="19"/>
      <c r="L37" s="24"/>
      <c r="M37" s="20"/>
      <c r="N37" s="20"/>
      <c r="O37" s="19"/>
      <c r="P37" s="25"/>
      <c r="Q37" s="25"/>
      <c r="R37" s="16"/>
      <c r="S37" s="25"/>
      <c r="T37" s="25"/>
      <c r="U37" s="25"/>
      <c r="V37" s="25"/>
      <c r="W37" s="25"/>
      <c r="X37" s="16"/>
      <c r="Y37" s="16"/>
      <c r="Z37" s="16"/>
      <c r="AA37" s="25"/>
      <c r="AB37" s="25"/>
      <c r="AC37" s="20"/>
      <c r="AD37" s="20"/>
      <c r="AE37" s="25"/>
      <c r="AF37" s="25"/>
      <c r="AG37" s="25"/>
      <c r="AH37" s="25"/>
      <c r="AI37" s="25"/>
      <c r="AJ37" s="25"/>
      <c r="AK37" s="25"/>
      <c r="AL37" s="15"/>
      <c r="AM37" s="25"/>
      <c r="AN37" s="25"/>
      <c r="AO37" s="25"/>
      <c r="AP37" s="20"/>
      <c r="AQ37" s="20"/>
      <c r="AR37" s="20"/>
      <c r="AS37" s="15"/>
      <c r="AT37" s="15"/>
      <c r="AU37" s="15"/>
      <c r="AV37" s="15"/>
      <c r="AW37" s="15"/>
      <c r="AX37" s="15"/>
      <c r="AY37" s="15"/>
      <c r="AZ37" s="15"/>
      <c r="BA37" s="15"/>
      <c r="BB37" s="15"/>
      <c r="BC37" s="15"/>
      <c r="BD37" s="15"/>
      <c r="BE37" s="15"/>
      <c r="BF37" s="15"/>
      <c r="BG37" s="15"/>
      <c r="BH37" s="15"/>
      <c r="BI37" s="15"/>
      <c r="BJ37" s="15"/>
      <c r="BK37" s="25"/>
      <c r="BL37" s="16"/>
    </row>
    <row r="38" spans="1:64" ht="19.5" customHeight="1" x14ac:dyDescent="0.25">
      <c r="A38" s="20"/>
      <c r="B38" s="20"/>
      <c r="C38" s="20"/>
      <c r="D38" s="20"/>
      <c r="E38" s="20"/>
      <c r="F38" s="20"/>
      <c r="G38" s="20"/>
      <c r="H38" s="20"/>
      <c r="I38" s="20"/>
      <c r="J38" s="20"/>
      <c r="K38" s="19"/>
      <c r="L38" s="24"/>
      <c r="M38" s="20"/>
      <c r="N38" s="20"/>
      <c r="O38" s="19"/>
      <c r="P38" s="25"/>
      <c r="Q38" s="25"/>
      <c r="R38" s="16"/>
      <c r="S38" s="25"/>
      <c r="T38" s="25"/>
      <c r="U38" s="25"/>
      <c r="V38" s="25"/>
      <c r="W38" s="25"/>
      <c r="X38" s="16"/>
      <c r="Y38" s="16"/>
      <c r="Z38" s="16"/>
      <c r="AA38" s="25"/>
      <c r="AB38" s="25"/>
      <c r="AC38" s="20"/>
      <c r="AD38" s="20"/>
      <c r="AE38" s="25"/>
      <c r="AF38" s="25"/>
      <c r="AG38" s="25"/>
      <c r="AH38" s="25"/>
      <c r="AI38" s="25"/>
      <c r="AJ38" s="25"/>
      <c r="AK38" s="25"/>
      <c r="AL38" s="15"/>
      <c r="AM38" s="25"/>
      <c r="AN38" s="25"/>
      <c r="AO38" s="25"/>
      <c r="AP38" s="20"/>
      <c r="AQ38" s="20"/>
      <c r="AR38" s="20"/>
      <c r="AS38" s="15"/>
      <c r="AT38" s="15"/>
      <c r="AU38" s="15"/>
      <c r="AV38" s="15"/>
      <c r="AW38" s="15"/>
      <c r="AX38" s="15"/>
      <c r="AY38" s="15"/>
      <c r="AZ38" s="15"/>
      <c r="BA38" s="15"/>
      <c r="BB38" s="15"/>
      <c r="BC38" s="15"/>
      <c r="BD38" s="15"/>
      <c r="BE38" s="15"/>
      <c r="BF38" s="15"/>
      <c r="BG38" s="15"/>
      <c r="BH38" s="15"/>
      <c r="BI38" s="15"/>
      <c r="BJ38" s="15"/>
      <c r="BK38" s="25"/>
      <c r="BL38" s="16"/>
    </row>
    <row r="39" spans="1:64" ht="19.5" customHeight="1" x14ac:dyDescent="0.25">
      <c r="A39" s="20"/>
      <c r="B39" s="20"/>
      <c r="C39" s="20"/>
      <c r="D39" s="20"/>
      <c r="E39" s="20"/>
      <c r="F39" s="20"/>
      <c r="G39" s="20"/>
      <c r="H39" s="20"/>
      <c r="I39" s="20"/>
      <c r="J39" s="20"/>
      <c r="K39" s="19"/>
      <c r="L39" s="24"/>
      <c r="M39" s="20"/>
      <c r="N39" s="20"/>
      <c r="O39" s="19"/>
      <c r="P39" s="25"/>
      <c r="Q39" s="25"/>
      <c r="R39" s="16"/>
      <c r="S39" s="25"/>
      <c r="T39" s="25"/>
      <c r="U39" s="25"/>
      <c r="V39" s="25"/>
      <c r="W39" s="25"/>
      <c r="X39" s="16"/>
      <c r="Y39" s="16"/>
      <c r="Z39" s="16"/>
      <c r="AA39" s="25"/>
      <c r="AB39" s="25"/>
      <c r="AC39" s="20"/>
      <c r="AD39" s="20"/>
      <c r="AE39" s="25"/>
      <c r="AF39" s="25"/>
      <c r="AG39" s="25"/>
      <c r="AH39" s="25"/>
      <c r="AI39" s="25"/>
      <c r="AJ39" s="25"/>
      <c r="AK39" s="25"/>
      <c r="AL39" s="15"/>
      <c r="AM39" s="25"/>
      <c r="AN39" s="25"/>
      <c r="AO39" s="25"/>
      <c r="AP39" s="20"/>
      <c r="AQ39" s="20"/>
      <c r="AR39" s="20"/>
      <c r="AS39" s="15"/>
      <c r="AT39" s="15"/>
      <c r="AU39" s="15"/>
      <c r="AV39" s="15"/>
      <c r="AW39" s="15"/>
      <c r="AX39" s="15"/>
      <c r="AY39" s="15"/>
      <c r="AZ39" s="15"/>
      <c r="BA39" s="15"/>
      <c r="BB39" s="15"/>
      <c r="BC39" s="15"/>
      <c r="BD39" s="15"/>
      <c r="BE39" s="15"/>
      <c r="BF39" s="15"/>
      <c r="BG39" s="15"/>
      <c r="BH39" s="15"/>
      <c r="BI39" s="15"/>
      <c r="BJ39" s="15"/>
      <c r="BK39" s="25"/>
      <c r="BL39" s="16"/>
    </row>
    <row r="40" spans="1:64" ht="19.5" customHeight="1" x14ac:dyDescent="0.25">
      <c r="A40" s="20"/>
      <c r="B40" s="20"/>
      <c r="C40" s="20"/>
      <c r="D40" s="20"/>
      <c r="E40" s="20"/>
      <c r="F40" s="20"/>
      <c r="G40" s="20"/>
      <c r="H40" s="20"/>
      <c r="I40" s="20"/>
      <c r="J40" s="20"/>
      <c r="K40" s="19"/>
      <c r="L40" s="24"/>
      <c r="M40" s="20"/>
      <c r="N40" s="20"/>
      <c r="O40" s="19"/>
      <c r="P40" s="25"/>
      <c r="Q40" s="25"/>
      <c r="R40" s="16"/>
      <c r="S40" s="25"/>
      <c r="T40" s="25"/>
      <c r="U40" s="25"/>
      <c r="V40" s="25"/>
      <c r="W40" s="25"/>
      <c r="X40" s="16"/>
      <c r="Y40" s="16"/>
      <c r="Z40" s="16"/>
      <c r="AA40" s="25"/>
      <c r="AB40" s="25"/>
      <c r="AC40" s="20"/>
      <c r="AD40" s="20"/>
      <c r="AE40" s="25"/>
      <c r="AF40" s="25"/>
      <c r="AG40" s="25"/>
      <c r="AH40" s="25"/>
      <c r="AI40" s="25"/>
      <c r="AJ40" s="25"/>
      <c r="AK40" s="25"/>
      <c r="AL40" s="15"/>
      <c r="AM40" s="25"/>
      <c r="AN40" s="25"/>
      <c r="AO40" s="25"/>
      <c r="AP40" s="20"/>
      <c r="AQ40" s="20"/>
      <c r="AR40" s="20"/>
      <c r="AS40" s="15"/>
      <c r="AT40" s="15"/>
      <c r="AU40" s="15"/>
      <c r="AV40" s="15"/>
      <c r="AW40" s="15"/>
      <c r="AX40" s="15"/>
      <c r="AY40" s="15"/>
      <c r="AZ40" s="15"/>
      <c r="BA40" s="15"/>
      <c r="BB40" s="15"/>
      <c r="BC40" s="15"/>
      <c r="BD40" s="15"/>
      <c r="BE40" s="15"/>
      <c r="BF40" s="15"/>
      <c r="BG40" s="15"/>
      <c r="BH40" s="15"/>
      <c r="BI40" s="15"/>
      <c r="BJ40" s="15"/>
      <c r="BK40" s="25"/>
      <c r="BL40" s="16"/>
    </row>
    <row r="41" spans="1:64" ht="19.5" customHeight="1" x14ac:dyDescent="0.25">
      <c r="A41" s="20"/>
      <c r="B41" s="20"/>
      <c r="C41" s="20"/>
      <c r="D41" s="20"/>
      <c r="E41" s="20"/>
      <c r="F41" s="20"/>
      <c r="G41" s="20"/>
      <c r="H41" s="20"/>
      <c r="I41" s="20"/>
      <c r="J41" s="20"/>
      <c r="K41" s="19"/>
      <c r="L41" s="24"/>
      <c r="M41" s="20"/>
      <c r="N41" s="20"/>
      <c r="O41" s="19"/>
      <c r="P41" s="25"/>
      <c r="Q41" s="25"/>
      <c r="R41" s="16"/>
      <c r="S41" s="25"/>
      <c r="T41" s="25"/>
      <c r="U41" s="25"/>
      <c r="V41" s="25"/>
      <c r="W41" s="25"/>
      <c r="X41" s="16"/>
      <c r="Y41" s="16"/>
      <c r="Z41" s="16"/>
      <c r="AA41" s="25"/>
      <c r="AB41" s="25"/>
      <c r="AC41" s="20"/>
      <c r="AD41" s="20"/>
      <c r="AE41" s="25"/>
      <c r="AF41" s="25"/>
      <c r="AG41" s="25"/>
      <c r="AH41" s="25"/>
      <c r="AI41" s="25"/>
      <c r="AJ41" s="25"/>
      <c r="AK41" s="25"/>
      <c r="AL41" s="15"/>
      <c r="AM41" s="25"/>
      <c r="AN41" s="25"/>
      <c r="AO41" s="25"/>
      <c r="AP41" s="20"/>
      <c r="AQ41" s="20"/>
      <c r="AR41" s="20"/>
      <c r="AS41" s="15"/>
      <c r="AT41" s="15"/>
      <c r="AU41" s="15"/>
      <c r="AV41" s="15"/>
      <c r="AW41" s="15"/>
      <c r="AX41" s="15"/>
      <c r="AY41" s="15"/>
      <c r="AZ41" s="15"/>
      <c r="BA41" s="15"/>
      <c r="BB41" s="15"/>
      <c r="BC41" s="15"/>
      <c r="BD41" s="15"/>
      <c r="BE41" s="15"/>
      <c r="BF41" s="15"/>
      <c r="BG41" s="15"/>
      <c r="BH41" s="15"/>
      <c r="BI41" s="15"/>
      <c r="BJ41" s="15"/>
      <c r="BK41" s="25"/>
      <c r="BL41" s="16"/>
    </row>
    <row r="42" spans="1:64" ht="19.5" customHeight="1" x14ac:dyDescent="0.25">
      <c r="A42" s="20"/>
      <c r="B42" s="20"/>
      <c r="C42" s="20"/>
      <c r="D42" s="20"/>
      <c r="E42" s="20"/>
      <c r="F42" s="20"/>
      <c r="G42" s="20"/>
      <c r="H42" s="20"/>
      <c r="I42" s="20"/>
      <c r="J42" s="20"/>
      <c r="K42" s="19"/>
      <c r="L42" s="24"/>
      <c r="M42" s="20"/>
      <c r="N42" s="20"/>
      <c r="O42" s="19"/>
      <c r="P42" s="25"/>
      <c r="Q42" s="25"/>
      <c r="R42" s="16"/>
      <c r="S42" s="25"/>
      <c r="T42" s="25"/>
      <c r="U42" s="25"/>
      <c r="V42" s="25"/>
      <c r="W42" s="25"/>
      <c r="X42" s="16"/>
      <c r="Y42" s="16"/>
      <c r="Z42" s="16"/>
      <c r="AA42" s="25"/>
      <c r="AB42" s="25"/>
      <c r="AC42" s="20"/>
      <c r="AD42" s="20"/>
      <c r="AE42" s="25"/>
      <c r="AF42" s="25"/>
      <c r="AG42" s="25"/>
      <c r="AH42" s="25"/>
      <c r="AI42" s="25"/>
      <c r="AJ42" s="25"/>
      <c r="AK42" s="25"/>
      <c r="AL42" s="15"/>
      <c r="AM42" s="25"/>
      <c r="AN42" s="25"/>
      <c r="AO42" s="25"/>
      <c r="AP42" s="20"/>
      <c r="AQ42" s="20"/>
      <c r="AR42" s="20"/>
      <c r="AS42" s="15"/>
      <c r="AT42" s="15"/>
      <c r="AU42" s="15"/>
      <c r="AV42" s="15"/>
      <c r="AW42" s="15"/>
      <c r="AX42" s="15"/>
      <c r="AY42" s="15"/>
      <c r="AZ42" s="15"/>
      <c r="BA42" s="15"/>
      <c r="BB42" s="15"/>
      <c r="BC42" s="15"/>
      <c r="BD42" s="15"/>
      <c r="BE42" s="15"/>
      <c r="BF42" s="15"/>
      <c r="BG42" s="15"/>
      <c r="BH42" s="15"/>
      <c r="BI42" s="15"/>
      <c r="BJ42" s="15"/>
      <c r="BK42" s="25"/>
      <c r="BL42" s="16"/>
    </row>
    <row r="43" spans="1:64" ht="19.5" customHeight="1" x14ac:dyDescent="0.25">
      <c r="A43" s="20"/>
      <c r="B43" s="20"/>
      <c r="C43" s="20"/>
      <c r="D43" s="20"/>
      <c r="E43" s="20"/>
      <c r="F43" s="20"/>
      <c r="G43" s="20"/>
      <c r="H43" s="20"/>
      <c r="I43" s="20"/>
      <c r="J43" s="20"/>
      <c r="K43" s="19"/>
      <c r="L43" s="24"/>
      <c r="M43" s="20"/>
      <c r="N43" s="20"/>
      <c r="O43" s="19"/>
      <c r="P43" s="25"/>
      <c r="Q43" s="25"/>
      <c r="R43" s="16"/>
      <c r="S43" s="25"/>
      <c r="T43" s="25"/>
      <c r="U43" s="25"/>
      <c r="V43" s="25"/>
      <c r="W43" s="25"/>
      <c r="X43" s="16"/>
      <c r="Y43" s="16"/>
      <c r="Z43" s="16"/>
      <c r="AA43" s="25"/>
      <c r="AB43" s="25"/>
      <c r="AC43" s="20"/>
      <c r="AD43" s="20"/>
      <c r="AE43" s="25"/>
      <c r="AF43" s="25"/>
      <c r="AG43" s="25"/>
      <c r="AH43" s="25"/>
      <c r="AI43" s="25"/>
      <c r="AJ43" s="25"/>
      <c r="AK43" s="25"/>
      <c r="AL43" s="15"/>
      <c r="AM43" s="25"/>
      <c r="AN43" s="25"/>
      <c r="AO43" s="25"/>
      <c r="AP43" s="20"/>
      <c r="AQ43" s="20"/>
      <c r="AR43" s="20"/>
      <c r="AS43" s="15"/>
      <c r="AT43" s="15"/>
      <c r="AU43" s="15"/>
      <c r="AV43" s="15"/>
      <c r="AW43" s="15"/>
      <c r="AX43" s="15"/>
      <c r="AY43" s="15"/>
      <c r="AZ43" s="15"/>
      <c r="BA43" s="15"/>
      <c r="BB43" s="15"/>
      <c r="BC43" s="15"/>
      <c r="BD43" s="15"/>
      <c r="BE43" s="15"/>
      <c r="BF43" s="15"/>
      <c r="BG43" s="15"/>
      <c r="BH43" s="15"/>
      <c r="BI43" s="15"/>
      <c r="BJ43" s="15"/>
      <c r="BK43" s="25"/>
      <c r="BL43" s="16"/>
    </row>
    <row r="44" spans="1:64" ht="19.5" customHeight="1" x14ac:dyDescent="0.25">
      <c r="A44" s="20"/>
      <c r="B44" s="20"/>
      <c r="C44" s="20"/>
      <c r="D44" s="20"/>
      <c r="E44" s="20"/>
      <c r="F44" s="20"/>
      <c r="G44" s="20"/>
      <c r="H44" s="20"/>
      <c r="I44" s="20"/>
      <c r="J44" s="20"/>
      <c r="K44" s="19"/>
      <c r="L44" s="24"/>
      <c r="M44" s="20"/>
      <c r="N44" s="20"/>
      <c r="O44" s="19"/>
      <c r="P44" s="25"/>
      <c r="Q44" s="25"/>
      <c r="R44" s="16"/>
      <c r="S44" s="25"/>
      <c r="T44" s="25"/>
      <c r="U44" s="25"/>
      <c r="V44" s="25"/>
      <c r="W44" s="25"/>
      <c r="X44" s="16"/>
      <c r="Y44" s="16"/>
      <c r="Z44" s="16"/>
      <c r="AA44" s="25"/>
      <c r="AB44" s="25"/>
      <c r="AC44" s="20"/>
      <c r="AD44" s="20"/>
      <c r="AE44" s="25"/>
      <c r="AF44" s="25"/>
      <c r="AG44" s="25"/>
      <c r="AH44" s="25"/>
      <c r="AI44" s="25"/>
      <c r="AJ44" s="25"/>
      <c r="AK44" s="25"/>
      <c r="AL44" s="15"/>
      <c r="AM44" s="25"/>
      <c r="AN44" s="25"/>
      <c r="AO44" s="25"/>
      <c r="AP44" s="20"/>
      <c r="AQ44" s="20"/>
      <c r="AR44" s="20"/>
      <c r="AS44" s="15"/>
      <c r="AT44" s="15"/>
      <c r="AU44" s="15"/>
      <c r="AV44" s="15"/>
      <c r="AW44" s="15"/>
      <c r="AX44" s="15"/>
      <c r="AY44" s="15"/>
      <c r="AZ44" s="15"/>
      <c r="BA44" s="15"/>
      <c r="BB44" s="15"/>
      <c r="BC44" s="15"/>
      <c r="BD44" s="15"/>
      <c r="BE44" s="15"/>
      <c r="BF44" s="15"/>
      <c r="BG44" s="15"/>
      <c r="BH44" s="15"/>
      <c r="BI44" s="15"/>
      <c r="BJ44" s="15"/>
      <c r="BK44" s="25"/>
      <c r="BL44" s="16"/>
    </row>
    <row r="45" spans="1:64" ht="19.5" customHeight="1" x14ac:dyDescent="0.25">
      <c r="A45" s="20"/>
      <c r="B45" s="20"/>
      <c r="C45" s="20"/>
      <c r="D45" s="20"/>
      <c r="E45" s="20"/>
      <c r="F45" s="20"/>
      <c r="G45" s="20"/>
      <c r="H45" s="20"/>
      <c r="I45" s="20"/>
      <c r="J45" s="20"/>
      <c r="K45" s="19"/>
      <c r="L45" s="24"/>
      <c r="M45" s="20"/>
      <c r="N45" s="20"/>
      <c r="O45" s="19"/>
      <c r="P45" s="25"/>
      <c r="Q45" s="25"/>
      <c r="R45" s="16"/>
      <c r="S45" s="25"/>
      <c r="T45" s="25"/>
      <c r="U45" s="25"/>
      <c r="V45" s="25"/>
      <c r="W45" s="25"/>
      <c r="X45" s="16"/>
      <c r="Y45" s="16"/>
      <c r="Z45" s="16"/>
      <c r="AA45" s="25"/>
      <c r="AB45" s="25"/>
      <c r="AC45" s="20"/>
      <c r="AD45" s="20"/>
      <c r="AE45" s="25"/>
      <c r="AF45" s="25"/>
      <c r="AG45" s="25"/>
      <c r="AH45" s="25"/>
      <c r="AI45" s="25"/>
      <c r="AJ45" s="25"/>
      <c r="AK45" s="25"/>
      <c r="AL45" s="15"/>
      <c r="AM45" s="25"/>
      <c r="AN45" s="25"/>
      <c r="AO45" s="25"/>
      <c r="AP45" s="20"/>
      <c r="AQ45" s="20"/>
      <c r="AR45" s="20"/>
      <c r="AS45" s="15"/>
      <c r="AT45" s="15"/>
      <c r="AU45" s="15"/>
      <c r="AV45" s="15"/>
      <c r="AW45" s="15"/>
      <c r="AX45" s="15"/>
      <c r="AY45" s="15"/>
      <c r="AZ45" s="15"/>
      <c r="BA45" s="15"/>
      <c r="BB45" s="15"/>
      <c r="BC45" s="15"/>
      <c r="BD45" s="15"/>
      <c r="BE45" s="15"/>
      <c r="BF45" s="15"/>
      <c r="BG45" s="15"/>
      <c r="BH45" s="15"/>
      <c r="BI45" s="15"/>
      <c r="BJ45" s="15"/>
      <c r="BK45" s="25"/>
      <c r="BL45" s="16"/>
    </row>
    <row r="46" spans="1:64" ht="19.5" customHeight="1" x14ac:dyDescent="0.25">
      <c r="A46" s="20"/>
      <c r="B46" s="20"/>
      <c r="C46" s="20"/>
      <c r="D46" s="20"/>
      <c r="E46" s="20"/>
      <c r="F46" s="20"/>
      <c r="G46" s="20"/>
      <c r="H46" s="20"/>
      <c r="I46" s="20"/>
      <c r="J46" s="20"/>
      <c r="K46" s="19"/>
      <c r="L46" s="24"/>
      <c r="M46" s="20"/>
      <c r="N46" s="20"/>
      <c r="O46" s="19"/>
      <c r="P46" s="25"/>
      <c r="Q46" s="25"/>
      <c r="R46" s="16"/>
      <c r="S46" s="25"/>
      <c r="T46" s="25"/>
      <c r="U46" s="25"/>
      <c r="V46" s="25"/>
      <c r="W46" s="25"/>
      <c r="X46" s="16"/>
      <c r="Y46" s="16"/>
      <c r="Z46" s="16"/>
      <c r="AA46" s="25"/>
      <c r="AB46" s="25"/>
      <c r="AC46" s="20"/>
      <c r="AD46" s="20"/>
      <c r="AE46" s="25"/>
      <c r="AF46" s="25"/>
      <c r="AG46" s="25"/>
      <c r="AH46" s="25"/>
      <c r="AI46" s="25"/>
      <c r="AJ46" s="25"/>
      <c r="AK46" s="25"/>
      <c r="AL46" s="15"/>
      <c r="AM46" s="25"/>
      <c r="AN46" s="25"/>
      <c r="AO46" s="25"/>
      <c r="AP46" s="20"/>
      <c r="AQ46" s="20"/>
      <c r="AR46" s="20"/>
      <c r="AS46" s="15"/>
      <c r="AT46" s="15"/>
      <c r="AU46" s="15"/>
      <c r="AV46" s="15"/>
      <c r="AW46" s="15"/>
      <c r="AX46" s="15"/>
      <c r="AY46" s="15"/>
      <c r="AZ46" s="15"/>
      <c r="BA46" s="15"/>
      <c r="BB46" s="15"/>
      <c r="BC46" s="15"/>
      <c r="BD46" s="15"/>
      <c r="BE46" s="15"/>
      <c r="BF46" s="15"/>
      <c r="BG46" s="15"/>
      <c r="BH46" s="15"/>
      <c r="BI46" s="15"/>
      <c r="BJ46" s="15"/>
      <c r="BK46" s="25"/>
      <c r="BL46" s="16"/>
    </row>
    <row r="47" spans="1:64" ht="19.5" customHeight="1" x14ac:dyDescent="0.25">
      <c r="A47" s="20"/>
      <c r="B47" s="20"/>
      <c r="C47" s="20"/>
      <c r="D47" s="20"/>
      <c r="E47" s="20"/>
      <c r="F47" s="20"/>
      <c r="G47" s="20"/>
      <c r="H47" s="20"/>
      <c r="I47" s="20"/>
      <c r="J47" s="20"/>
      <c r="K47" s="19"/>
      <c r="L47" s="24"/>
      <c r="M47" s="20"/>
      <c r="N47" s="20"/>
      <c r="O47" s="19"/>
      <c r="P47" s="25"/>
      <c r="Q47" s="25"/>
      <c r="R47" s="16"/>
      <c r="S47" s="25"/>
      <c r="T47" s="25"/>
      <c r="U47" s="25"/>
      <c r="V47" s="25"/>
      <c r="W47" s="25"/>
      <c r="X47" s="16"/>
      <c r="Y47" s="16"/>
      <c r="Z47" s="16"/>
      <c r="AA47" s="25"/>
      <c r="AB47" s="25"/>
      <c r="AC47" s="20"/>
      <c r="AD47" s="20"/>
      <c r="AE47" s="25"/>
      <c r="AF47" s="25"/>
      <c r="AG47" s="25"/>
      <c r="AH47" s="25"/>
      <c r="AI47" s="25"/>
      <c r="AJ47" s="25"/>
      <c r="AK47" s="25"/>
      <c r="AL47" s="15"/>
      <c r="AM47" s="25"/>
      <c r="AN47" s="25"/>
      <c r="AO47" s="25"/>
      <c r="AP47" s="20"/>
      <c r="AQ47" s="20"/>
      <c r="AR47" s="20"/>
      <c r="AS47" s="15"/>
      <c r="AT47" s="15"/>
      <c r="AU47" s="15"/>
      <c r="AV47" s="15"/>
      <c r="AW47" s="15"/>
      <c r="AX47" s="15"/>
      <c r="AY47" s="15"/>
      <c r="AZ47" s="15"/>
      <c r="BA47" s="15"/>
      <c r="BB47" s="15"/>
      <c r="BC47" s="15"/>
      <c r="BD47" s="15"/>
      <c r="BE47" s="15"/>
      <c r="BF47" s="15"/>
      <c r="BG47" s="15"/>
      <c r="BH47" s="15"/>
      <c r="BI47" s="15"/>
      <c r="BJ47" s="15"/>
      <c r="BK47" s="25"/>
      <c r="BL47" s="16"/>
    </row>
    <row r="48" spans="1:64" ht="19.5" customHeight="1" x14ac:dyDescent="0.25">
      <c r="A48" s="20"/>
      <c r="B48" s="20"/>
      <c r="C48" s="20"/>
      <c r="D48" s="20"/>
      <c r="E48" s="20"/>
      <c r="F48" s="20"/>
      <c r="G48" s="20"/>
      <c r="H48" s="20"/>
      <c r="I48" s="20"/>
      <c r="J48" s="20"/>
      <c r="K48" s="19"/>
      <c r="L48" s="24"/>
      <c r="M48" s="20"/>
      <c r="N48" s="20"/>
      <c r="O48" s="19"/>
      <c r="P48" s="23"/>
      <c r="Q48" s="23"/>
      <c r="R48" s="21"/>
      <c r="S48" s="23"/>
      <c r="T48" s="23"/>
      <c r="U48" s="23"/>
      <c r="V48" s="23"/>
      <c r="W48" s="23"/>
      <c r="X48" s="21"/>
      <c r="Y48" s="21"/>
      <c r="Z48" s="21"/>
      <c r="AA48" s="23"/>
      <c r="AB48" s="23"/>
      <c r="AC48" s="20"/>
      <c r="AD48" s="20"/>
      <c r="AE48" s="23"/>
      <c r="AF48" s="23"/>
      <c r="AG48" s="23"/>
      <c r="AH48" s="23"/>
      <c r="AI48" s="23"/>
      <c r="AJ48" s="23"/>
      <c r="AK48" s="23"/>
      <c r="AL48" s="15"/>
      <c r="AM48" s="23"/>
      <c r="AN48" s="23"/>
      <c r="AO48" s="23"/>
      <c r="AP48" s="20"/>
      <c r="AQ48" s="20"/>
      <c r="AR48" s="20"/>
      <c r="AS48" s="15"/>
      <c r="AT48" s="15"/>
      <c r="AU48" s="15"/>
      <c r="AV48" s="15"/>
      <c r="AW48" s="15"/>
      <c r="AX48" s="15"/>
      <c r="AY48" s="15"/>
      <c r="AZ48" s="15"/>
      <c r="BA48" s="15"/>
      <c r="BB48" s="15"/>
      <c r="BC48" s="15"/>
      <c r="BD48" s="15"/>
      <c r="BE48" s="15"/>
      <c r="BF48" s="15"/>
      <c r="BG48" s="15"/>
      <c r="BH48" s="15"/>
      <c r="BI48" s="15"/>
      <c r="BJ48" s="15"/>
      <c r="BK48" s="23"/>
      <c r="BL48" s="21"/>
    </row>
    <row r="49" spans="1:64" ht="19.5" customHeight="1" x14ac:dyDescent="0.25">
      <c r="A49" s="20"/>
      <c r="B49" s="20"/>
      <c r="C49" s="20"/>
      <c r="D49" s="20"/>
      <c r="E49" s="20"/>
      <c r="F49" s="20"/>
      <c r="G49" s="20"/>
      <c r="H49" s="20"/>
      <c r="I49" s="20"/>
      <c r="J49" s="20"/>
      <c r="K49" s="19"/>
      <c r="L49" s="24"/>
      <c r="M49" s="20"/>
      <c r="N49" s="20"/>
      <c r="O49" s="19"/>
      <c r="P49" s="23"/>
      <c r="Q49" s="23"/>
      <c r="R49" s="21"/>
      <c r="S49" s="23"/>
      <c r="T49" s="23"/>
      <c r="U49" s="23"/>
      <c r="V49" s="23"/>
      <c r="W49" s="23"/>
      <c r="X49" s="21"/>
      <c r="Y49" s="21"/>
      <c r="Z49" s="21"/>
      <c r="AA49" s="23"/>
      <c r="AB49" s="23"/>
      <c r="AC49" s="20"/>
      <c r="AD49" s="20"/>
      <c r="AE49" s="23"/>
      <c r="AF49" s="23"/>
      <c r="AG49" s="23"/>
      <c r="AH49" s="23"/>
      <c r="AI49" s="23"/>
      <c r="AJ49" s="23"/>
      <c r="AK49" s="23"/>
      <c r="AL49" s="15"/>
      <c r="AM49" s="23"/>
      <c r="AN49" s="23"/>
      <c r="AO49" s="23"/>
      <c r="AP49" s="20"/>
      <c r="AQ49" s="20"/>
      <c r="AR49" s="20"/>
      <c r="AS49" s="15"/>
      <c r="AT49" s="15"/>
      <c r="AU49" s="15"/>
      <c r="AV49" s="15"/>
      <c r="AW49" s="15"/>
      <c r="AX49" s="15"/>
      <c r="AY49" s="15"/>
      <c r="AZ49" s="15"/>
      <c r="BA49" s="15"/>
      <c r="BB49" s="15"/>
      <c r="BC49" s="15"/>
      <c r="BD49" s="15"/>
      <c r="BE49" s="15"/>
      <c r="BF49" s="15"/>
      <c r="BG49" s="15"/>
      <c r="BH49" s="15"/>
      <c r="BI49" s="15"/>
      <c r="BJ49" s="15"/>
      <c r="BK49" s="23"/>
      <c r="BL49" s="21"/>
    </row>
    <row r="50" spans="1:64" ht="19.5" customHeight="1" x14ac:dyDescent="0.25">
      <c r="A50" s="20"/>
      <c r="B50" s="20"/>
      <c r="C50" s="20"/>
      <c r="D50" s="20"/>
      <c r="E50" s="20"/>
      <c r="F50" s="20"/>
      <c r="G50" s="20"/>
      <c r="H50" s="20"/>
      <c r="I50" s="20"/>
      <c r="J50" s="20"/>
      <c r="K50" s="19"/>
      <c r="L50" s="24"/>
      <c r="M50" s="20"/>
      <c r="N50" s="20"/>
      <c r="O50" s="19"/>
      <c r="P50" s="23"/>
      <c r="Q50" s="23"/>
      <c r="R50" s="21"/>
      <c r="S50" s="23"/>
      <c r="T50" s="23"/>
      <c r="U50" s="23"/>
      <c r="V50" s="23"/>
      <c r="W50" s="23"/>
      <c r="X50" s="21"/>
      <c r="Y50" s="21"/>
      <c r="Z50" s="21"/>
      <c r="AA50" s="23"/>
      <c r="AB50" s="23"/>
      <c r="AC50" s="20"/>
      <c r="AD50" s="20"/>
      <c r="AE50" s="23"/>
      <c r="AF50" s="23"/>
      <c r="AG50" s="23"/>
      <c r="AH50" s="23"/>
      <c r="AI50" s="23"/>
      <c r="AJ50" s="23"/>
      <c r="AK50" s="23"/>
      <c r="AL50" s="15"/>
      <c r="AM50" s="23"/>
      <c r="AN50" s="23"/>
      <c r="AO50" s="23"/>
      <c r="AP50" s="20"/>
      <c r="AQ50" s="20"/>
      <c r="AR50" s="20"/>
      <c r="AS50" s="15"/>
      <c r="AT50" s="15"/>
      <c r="AU50" s="15"/>
      <c r="AV50" s="15"/>
      <c r="AW50" s="15"/>
      <c r="AX50" s="15"/>
      <c r="AY50" s="15"/>
      <c r="AZ50" s="15"/>
      <c r="BA50" s="15"/>
      <c r="BB50" s="15"/>
      <c r="BC50" s="15"/>
      <c r="BD50" s="15"/>
      <c r="BE50" s="15"/>
      <c r="BF50" s="15"/>
      <c r="BG50" s="15"/>
      <c r="BH50" s="15"/>
      <c r="BI50" s="15"/>
      <c r="BJ50" s="15"/>
      <c r="BK50" s="23"/>
      <c r="BL50" s="21"/>
    </row>
    <row r="51" spans="1:64" ht="19.5" customHeight="1" x14ac:dyDescent="0.25">
      <c r="A51" s="20"/>
      <c r="B51" s="20"/>
      <c r="C51" s="20"/>
      <c r="D51" s="20"/>
      <c r="E51" s="20"/>
      <c r="F51" s="20"/>
      <c r="G51" s="20"/>
      <c r="H51" s="20"/>
      <c r="I51" s="20"/>
      <c r="J51" s="20"/>
      <c r="K51" s="19"/>
      <c r="L51" s="24"/>
      <c r="M51" s="20"/>
      <c r="N51" s="20"/>
      <c r="O51" s="19"/>
      <c r="P51" s="23"/>
      <c r="Q51" s="23"/>
      <c r="R51" s="21"/>
      <c r="S51" s="23"/>
      <c r="T51" s="23"/>
      <c r="U51" s="23"/>
      <c r="V51" s="23"/>
      <c r="W51" s="23"/>
      <c r="X51" s="21"/>
      <c r="Y51" s="21"/>
      <c r="Z51" s="21"/>
      <c r="AA51" s="23"/>
      <c r="AB51" s="23"/>
      <c r="AC51" s="20"/>
      <c r="AD51" s="20"/>
      <c r="AE51" s="23"/>
      <c r="AF51" s="23"/>
      <c r="AG51" s="23"/>
      <c r="AH51" s="23"/>
      <c r="AI51" s="23"/>
      <c r="AJ51" s="23"/>
      <c r="AK51" s="23"/>
      <c r="AL51" s="15"/>
      <c r="AM51" s="23"/>
      <c r="AN51" s="23"/>
      <c r="AO51" s="23"/>
      <c r="AP51" s="20"/>
      <c r="AQ51" s="20"/>
      <c r="AR51" s="20"/>
      <c r="AS51" s="15"/>
      <c r="AT51" s="15"/>
      <c r="AU51" s="15"/>
      <c r="AV51" s="15"/>
      <c r="AW51" s="15"/>
      <c r="AX51" s="15"/>
      <c r="AY51" s="15"/>
      <c r="AZ51" s="15"/>
      <c r="BA51" s="15"/>
      <c r="BB51" s="15"/>
      <c r="BC51" s="15"/>
      <c r="BD51" s="15"/>
      <c r="BE51" s="15"/>
      <c r="BF51" s="15"/>
      <c r="BG51" s="15"/>
      <c r="BH51" s="15"/>
      <c r="BI51" s="15"/>
      <c r="BJ51" s="15"/>
      <c r="BK51" s="23"/>
      <c r="BL51" s="21"/>
    </row>
    <row r="52" spans="1:64" ht="19.5" customHeight="1" x14ac:dyDescent="0.25">
      <c r="A52" s="20"/>
      <c r="B52" s="20"/>
      <c r="C52" s="20"/>
      <c r="D52" s="20"/>
      <c r="E52" s="20"/>
      <c r="F52" s="20"/>
      <c r="G52" s="20"/>
      <c r="H52" s="20"/>
      <c r="I52" s="20"/>
      <c r="J52" s="20"/>
      <c r="K52" s="19"/>
      <c r="L52" s="24"/>
      <c r="M52" s="20"/>
      <c r="N52" s="20"/>
      <c r="O52" s="19"/>
      <c r="P52" s="23"/>
      <c r="Q52" s="23"/>
      <c r="R52" s="21"/>
      <c r="S52" s="23"/>
      <c r="T52" s="23"/>
      <c r="U52" s="23"/>
      <c r="V52" s="23"/>
      <c r="W52" s="23"/>
      <c r="X52" s="21"/>
      <c r="Y52" s="21"/>
      <c r="Z52" s="21"/>
      <c r="AA52" s="23"/>
      <c r="AB52" s="23"/>
      <c r="AC52" s="20"/>
      <c r="AD52" s="20"/>
      <c r="AE52" s="23"/>
      <c r="AF52" s="23"/>
      <c r="AG52" s="23"/>
      <c r="AH52" s="23"/>
      <c r="AI52" s="23"/>
      <c r="AJ52" s="23"/>
      <c r="AK52" s="23"/>
      <c r="AL52" s="15"/>
      <c r="AM52" s="23"/>
      <c r="AN52" s="23"/>
      <c r="AO52" s="23"/>
      <c r="AP52" s="20"/>
      <c r="AQ52" s="20"/>
      <c r="AR52" s="20"/>
      <c r="AS52" s="15"/>
      <c r="AT52" s="15"/>
      <c r="AU52" s="15"/>
      <c r="AV52" s="15"/>
      <c r="AW52" s="15"/>
      <c r="AX52" s="15"/>
      <c r="AY52" s="15"/>
      <c r="AZ52" s="15"/>
      <c r="BA52" s="15"/>
      <c r="BB52" s="15"/>
      <c r="BC52" s="15"/>
      <c r="BD52" s="15"/>
      <c r="BE52" s="15"/>
      <c r="BF52" s="15"/>
      <c r="BG52" s="15"/>
      <c r="BH52" s="15"/>
      <c r="BI52" s="15"/>
      <c r="BJ52" s="15"/>
      <c r="BK52" s="23"/>
      <c r="BL52" s="21"/>
    </row>
    <row r="53" spans="1:64" ht="19.5" customHeight="1" x14ac:dyDescent="0.25">
      <c r="A53" s="20"/>
      <c r="B53" s="20"/>
      <c r="C53" s="20"/>
      <c r="D53" s="20"/>
      <c r="E53" s="20"/>
      <c r="F53" s="20"/>
      <c r="G53" s="20"/>
      <c r="H53" s="20"/>
      <c r="I53" s="20"/>
      <c r="J53" s="20"/>
      <c r="K53" s="19"/>
      <c r="L53" s="24"/>
      <c r="M53" s="20"/>
      <c r="N53" s="20"/>
      <c r="O53" s="19"/>
      <c r="P53" s="23"/>
      <c r="Q53" s="23"/>
      <c r="R53" s="21"/>
      <c r="S53" s="23"/>
      <c r="T53" s="23"/>
      <c r="U53" s="23"/>
      <c r="V53" s="23"/>
      <c r="W53" s="23"/>
      <c r="X53" s="21"/>
      <c r="Y53" s="21"/>
      <c r="Z53" s="21"/>
      <c r="AA53" s="23"/>
      <c r="AB53" s="23"/>
      <c r="AC53" s="20"/>
      <c r="AD53" s="20"/>
      <c r="AE53" s="23"/>
      <c r="AF53" s="23"/>
      <c r="AG53" s="23"/>
      <c r="AH53" s="23"/>
      <c r="AI53" s="23"/>
      <c r="AJ53" s="23"/>
      <c r="AK53" s="23"/>
      <c r="AL53" s="15"/>
      <c r="AM53" s="23"/>
      <c r="AN53" s="23"/>
      <c r="AO53" s="23"/>
      <c r="AP53" s="20"/>
      <c r="AQ53" s="20"/>
      <c r="AR53" s="20"/>
      <c r="AS53" s="15"/>
      <c r="AT53" s="15"/>
      <c r="AU53" s="15"/>
      <c r="AV53" s="15"/>
      <c r="AW53" s="15"/>
      <c r="AX53" s="15"/>
      <c r="AY53" s="15"/>
      <c r="AZ53" s="15"/>
      <c r="BA53" s="15"/>
      <c r="BB53" s="15"/>
      <c r="BC53" s="15"/>
      <c r="BD53" s="15"/>
      <c r="BE53" s="15"/>
      <c r="BF53" s="15"/>
      <c r="BG53" s="15"/>
      <c r="BH53" s="15"/>
      <c r="BI53" s="15"/>
      <c r="BJ53" s="15"/>
      <c r="BK53" s="23"/>
      <c r="BL53" s="21"/>
    </row>
    <row r="54" spans="1:64" ht="19.5" customHeight="1" x14ac:dyDescent="0.25">
      <c r="A54" s="20"/>
      <c r="B54" s="20"/>
      <c r="C54" s="20"/>
      <c r="D54" s="20"/>
      <c r="E54" s="20"/>
      <c r="F54" s="20"/>
      <c r="G54" s="20"/>
      <c r="H54" s="20"/>
      <c r="I54" s="20"/>
      <c r="J54" s="20"/>
      <c r="K54" s="19"/>
      <c r="L54" s="24"/>
      <c r="M54" s="20"/>
      <c r="N54" s="20"/>
      <c r="O54" s="19"/>
      <c r="P54" s="23"/>
      <c r="Q54" s="23"/>
      <c r="R54" s="21"/>
      <c r="S54" s="23"/>
      <c r="T54" s="23"/>
      <c r="U54" s="23"/>
      <c r="V54" s="23"/>
      <c r="W54" s="23"/>
      <c r="X54" s="21"/>
      <c r="Y54" s="21"/>
      <c r="Z54" s="21"/>
      <c r="AA54" s="23"/>
      <c r="AB54" s="23"/>
      <c r="AC54" s="20"/>
      <c r="AD54" s="20"/>
      <c r="AE54" s="23"/>
      <c r="AF54" s="23"/>
      <c r="AG54" s="23"/>
      <c r="AH54" s="23"/>
      <c r="AI54" s="23"/>
      <c r="AJ54" s="23"/>
      <c r="AK54" s="23"/>
      <c r="AL54" s="15"/>
      <c r="AM54" s="23"/>
      <c r="AN54" s="23"/>
      <c r="AO54" s="23"/>
      <c r="AP54" s="20"/>
      <c r="AQ54" s="20"/>
      <c r="AR54" s="20"/>
      <c r="AS54" s="15"/>
      <c r="AT54" s="15"/>
      <c r="AU54" s="15"/>
      <c r="AV54" s="15"/>
      <c r="AW54" s="15"/>
      <c r="AX54" s="15"/>
      <c r="AY54" s="15"/>
      <c r="AZ54" s="15"/>
      <c r="BA54" s="15"/>
      <c r="BB54" s="15"/>
      <c r="BC54" s="15"/>
      <c r="BD54" s="15"/>
      <c r="BE54" s="15"/>
      <c r="BF54" s="15"/>
      <c r="BG54" s="15"/>
      <c r="BH54" s="15"/>
      <c r="BI54" s="15"/>
      <c r="BJ54" s="15"/>
      <c r="BK54" s="23"/>
      <c r="BL54" s="21"/>
    </row>
    <row r="55" spans="1:64" ht="19.5" customHeight="1" x14ac:dyDescent="0.25">
      <c r="A55" s="20"/>
      <c r="B55" s="20"/>
      <c r="C55" s="20"/>
      <c r="D55" s="20"/>
      <c r="E55" s="20"/>
      <c r="F55" s="20"/>
      <c r="G55" s="20"/>
      <c r="H55" s="20"/>
      <c r="I55" s="20"/>
      <c r="J55" s="20"/>
      <c r="K55" s="19"/>
      <c r="L55" s="24"/>
      <c r="M55" s="20"/>
      <c r="N55" s="20"/>
      <c r="O55" s="19"/>
      <c r="P55" s="23"/>
      <c r="Q55" s="23"/>
      <c r="R55" s="21"/>
      <c r="S55" s="23"/>
      <c r="T55" s="23"/>
      <c r="U55" s="23"/>
      <c r="V55" s="23"/>
      <c r="W55" s="23"/>
      <c r="X55" s="21"/>
      <c r="Y55" s="21"/>
      <c r="Z55" s="21"/>
      <c r="AA55" s="23"/>
      <c r="AB55" s="23"/>
      <c r="AC55" s="20"/>
      <c r="AD55" s="20"/>
      <c r="AE55" s="23"/>
      <c r="AF55" s="23"/>
      <c r="AG55" s="23"/>
      <c r="AH55" s="23"/>
      <c r="AI55" s="23"/>
      <c r="AJ55" s="23"/>
      <c r="AK55" s="23"/>
      <c r="AL55" s="15"/>
      <c r="AM55" s="23"/>
      <c r="AN55" s="23"/>
      <c r="AO55" s="23"/>
      <c r="AP55" s="20"/>
      <c r="AQ55" s="20"/>
      <c r="AR55" s="20"/>
      <c r="AS55" s="15"/>
      <c r="AT55" s="15"/>
      <c r="AU55" s="15"/>
      <c r="AV55" s="15"/>
      <c r="AW55" s="15"/>
      <c r="AX55" s="15"/>
      <c r="AY55" s="15"/>
      <c r="AZ55" s="15"/>
      <c r="BA55" s="15"/>
      <c r="BB55" s="15"/>
      <c r="BC55" s="15"/>
      <c r="BD55" s="15"/>
      <c r="BE55" s="15"/>
      <c r="BF55" s="15"/>
      <c r="BG55" s="15"/>
      <c r="BH55" s="15"/>
      <c r="BI55" s="15"/>
      <c r="BJ55" s="15"/>
      <c r="BK55" s="23"/>
      <c r="BL55" s="21"/>
    </row>
    <row r="56" spans="1:64" ht="19.5" customHeight="1" x14ac:dyDescent="0.25">
      <c r="A56" s="20"/>
      <c r="B56" s="20"/>
      <c r="C56" s="20"/>
      <c r="D56" s="20"/>
      <c r="E56" s="20"/>
      <c r="F56" s="20"/>
      <c r="G56" s="20"/>
      <c r="H56" s="20"/>
      <c r="I56" s="20"/>
      <c r="J56" s="20"/>
      <c r="K56" s="19"/>
      <c r="L56" s="24"/>
      <c r="M56" s="20"/>
      <c r="N56" s="20"/>
      <c r="O56" s="19"/>
      <c r="P56" s="23"/>
      <c r="Q56" s="23"/>
      <c r="R56" s="21"/>
      <c r="S56" s="23"/>
      <c r="T56" s="23"/>
      <c r="U56" s="23"/>
      <c r="V56" s="23"/>
      <c r="W56" s="23"/>
      <c r="X56" s="21"/>
      <c r="Y56" s="21"/>
      <c r="Z56" s="21"/>
      <c r="AA56" s="23"/>
      <c r="AB56" s="23"/>
      <c r="AC56" s="20"/>
      <c r="AD56" s="20"/>
      <c r="AE56" s="23"/>
      <c r="AF56" s="23"/>
      <c r="AG56" s="23"/>
      <c r="AH56" s="23"/>
      <c r="AI56" s="23"/>
      <c r="AJ56" s="23"/>
      <c r="AK56" s="23"/>
      <c r="AL56" s="15"/>
      <c r="AM56" s="23"/>
      <c r="AN56" s="23"/>
      <c r="AO56" s="23"/>
      <c r="AP56" s="20"/>
      <c r="AQ56" s="20"/>
      <c r="AR56" s="20"/>
      <c r="AS56" s="15"/>
      <c r="AT56" s="15"/>
      <c r="AU56" s="15"/>
      <c r="AV56" s="15"/>
      <c r="AW56" s="15"/>
      <c r="AX56" s="15"/>
      <c r="AY56" s="15"/>
      <c r="AZ56" s="15"/>
      <c r="BA56" s="15"/>
      <c r="BB56" s="15"/>
      <c r="BC56" s="15"/>
      <c r="BD56" s="15"/>
      <c r="BE56" s="15"/>
      <c r="BF56" s="15"/>
      <c r="BG56" s="15"/>
      <c r="BH56" s="15"/>
      <c r="BI56" s="15"/>
      <c r="BJ56" s="15"/>
      <c r="BK56" s="23"/>
      <c r="BL56" s="21"/>
    </row>
    <row r="57" spans="1:64" ht="19.5" customHeight="1" x14ac:dyDescent="0.25">
      <c r="A57" s="20"/>
      <c r="B57" s="20"/>
      <c r="C57" s="20"/>
      <c r="D57" s="20"/>
      <c r="E57" s="20"/>
      <c r="F57" s="20"/>
      <c r="G57" s="20"/>
      <c r="H57" s="20"/>
      <c r="I57" s="20"/>
      <c r="J57" s="20"/>
      <c r="K57" s="19"/>
      <c r="L57" s="24"/>
      <c r="M57" s="20"/>
      <c r="N57" s="20"/>
      <c r="O57" s="19"/>
      <c r="P57" s="23"/>
      <c r="Q57" s="23"/>
      <c r="R57" s="21"/>
      <c r="S57" s="23"/>
      <c r="T57" s="23"/>
      <c r="U57" s="23"/>
      <c r="V57" s="23"/>
      <c r="W57" s="23"/>
      <c r="X57" s="21"/>
      <c r="Y57" s="21"/>
      <c r="Z57" s="21"/>
      <c r="AA57" s="23"/>
      <c r="AB57" s="23"/>
      <c r="AC57" s="20"/>
      <c r="AD57" s="20"/>
      <c r="AE57" s="23"/>
      <c r="AF57" s="23"/>
      <c r="AG57" s="23"/>
      <c r="AH57" s="23"/>
      <c r="AI57" s="23"/>
      <c r="AJ57" s="23"/>
      <c r="AK57" s="23"/>
      <c r="AL57" s="15"/>
      <c r="AM57" s="23"/>
      <c r="AN57" s="23"/>
      <c r="AO57" s="23"/>
      <c r="AP57" s="20"/>
      <c r="AQ57" s="20"/>
      <c r="AR57" s="20"/>
      <c r="AS57" s="15"/>
      <c r="AT57" s="15"/>
      <c r="AU57" s="15"/>
      <c r="AV57" s="15"/>
      <c r="AW57" s="15"/>
      <c r="AX57" s="15"/>
      <c r="AY57" s="15"/>
      <c r="AZ57" s="15"/>
      <c r="BA57" s="15"/>
      <c r="BB57" s="15"/>
      <c r="BC57" s="15"/>
      <c r="BD57" s="15"/>
      <c r="BE57" s="15"/>
      <c r="BF57" s="15"/>
      <c r="BG57" s="15"/>
      <c r="BH57" s="15"/>
      <c r="BI57" s="15"/>
      <c r="BJ57" s="15"/>
      <c r="BK57" s="23"/>
      <c r="BL57" s="21"/>
    </row>
    <row r="58" spans="1:64" ht="19.5" customHeight="1" x14ac:dyDescent="0.25">
      <c r="A58" s="20"/>
      <c r="B58" s="20"/>
      <c r="C58" s="20"/>
      <c r="D58" s="20"/>
      <c r="E58" s="20"/>
      <c r="F58" s="20"/>
      <c r="G58" s="20"/>
      <c r="H58" s="20"/>
      <c r="I58" s="20"/>
      <c r="J58" s="20"/>
      <c r="K58" s="19"/>
      <c r="L58" s="24"/>
      <c r="M58" s="20"/>
      <c r="N58" s="20"/>
      <c r="O58" s="19"/>
      <c r="P58" s="23"/>
      <c r="Q58" s="23"/>
      <c r="R58" s="21"/>
      <c r="S58" s="23"/>
      <c r="T58" s="23"/>
      <c r="U58" s="23"/>
      <c r="V58" s="23"/>
      <c r="W58" s="23"/>
      <c r="X58" s="21"/>
      <c r="Y58" s="21"/>
      <c r="Z58" s="21"/>
      <c r="AA58" s="23"/>
      <c r="AB58" s="23"/>
      <c r="AC58" s="20"/>
      <c r="AD58" s="20"/>
      <c r="AE58" s="23"/>
      <c r="AF58" s="23"/>
      <c r="AG58" s="23"/>
      <c r="AH58" s="23"/>
      <c r="AI58" s="23"/>
      <c r="AJ58" s="23"/>
      <c r="AK58" s="23"/>
      <c r="AL58" s="15"/>
      <c r="AM58" s="23"/>
      <c r="AN58" s="23"/>
      <c r="AO58" s="23"/>
      <c r="AP58" s="20"/>
      <c r="AQ58" s="20"/>
      <c r="AR58" s="20"/>
      <c r="AS58" s="15"/>
      <c r="AT58" s="15"/>
      <c r="AU58" s="15"/>
      <c r="AV58" s="15"/>
      <c r="AW58" s="15"/>
      <c r="AX58" s="15"/>
      <c r="AY58" s="15"/>
      <c r="AZ58" s="15"/>
      <c r="BA58" s="15"/>
      <c r="BB58" s="15"/>
      <c r="BC58" s="15"/>
      <c r="BD58" s="15"/>
      <c r="BE58" s="15"/>
      <c r="BF58" s="15"/>
      <c r="BG58" s="15"/>
      <c r="BH58" s="15"/>
      <c r="BI58" s="15"/>
      <c r="BJ58" s="15"/>
      <c r="BK58" s="23"/>
      <c r="BL58" s="21"/>
    </row>
    <row r="59" spans="1:64" ht="19.5" customHeight="1" x14ac:dyDescent="0.25">
      <c r="A59" s="20"/>
      <c r="B59" s="20"/>
      <c r="C59" s="20"/>
      <c r="D59" s="20"/>
      <c r="E59" s="20"/>
      <c r="F59" s="20"/>
      <c r="G59" s="20"/>
      <c r="H59" s="20"/>
      <c r="I59" s="20"/>
      <c r="J59" s="20"/>
      <c r="K59" s="19"/>
      <c r="L59" s="24"/>
      <c r="M59" s="20"/>
      <c r="N59" s="20"/>
      <c r="O59" s="19"/>
      <c r="P59" s="23"/>
      <c r="Q59" s="23"/>
      <c r="R59" s="21"/>
      <c r="S59" s="23"/>
      <c r="T59" s="23"/>
      <c r="U59" s="23"/>
      <c r="V59" s="23"/>
      <c r="W59" s="23"/>
      <c r="X59" s="21"/>
      <c r="Y59" s="21"/>
      <c r="Z59" s="21"/>
      <c r="AA59" s="23"/>
      <c r="AB59" s="23"/>
      <c r="AC59" s="20"/>
      <c r="AD59" s="20"/>
      <c r="AE59" s="23"/>
      <c r="AF59" s="23"/>
      <c r="AG59" s="23"/>
      <c r="AH59" s="23"/>
      <c r="AI59" s="23"/>
      <c r="AJ59" s="23"/>
      <c r="AK59" s="23"/>
      <c r="AL59" s="15"/>
      <c r="AM59" s="23"/>
      <c r="AN59" s="23"/>
      <c r="AO59" s="23"/>
      <c r="AP59" s="20"/>
      <c r="AQ59" s="20"/>
      <c r="AR59" s="20"/>
      <c r="AS59" s="15"/>
      <c r="AT59" s="15"/>
      <c r="AU59" s="15"/>
      <c r="AV59" s="15"/>
      <c r="AW59" s="15"/>
      <c r="AX59" s="15"/>
      <c r="AY59" s="15"/>
      <c r="AZ59" s="15"/>
      <c r="BA59" s="15"/>
      <c r="BB59" s="15"/>
      <c r="BC59" s="15"/>
      <c r="BD59" s="15"/>
      <c r="BE59" s="15"/>
      <c r="BF59" s="15"/>
      <c r="BG59" s="15"/>
      <c r="BH59" s="15"/>
      <c r="BI59" s="15"/>
      <c r="BJ59" s="15"/>
      <c r="BK59" s="23"/>
      <c r="BL59" s="21"/>
    </row>
    <row r="60" spans="1:64" ht="19.5" customHeight="1" x14ac:dyDescent="0.25">
      <c r="A60" s="20"/>
      <c r="B60" s="20"/>
      <c r="C60" s="20"/>
      <c r="D60" s="20"/>
      <c r="E60" s="20"/>
      <c r="F60" s="20"/>
      <c r="G60" s="20"/>
      <c r="H60" s="20"/>
      <c r="I60" s="20"/>
      <c r="J60" s="20"/>
      <c r="K60" s="19"/>
      <c r="L60" s="24"/>
      <c r="M60" s="20"/>
      <c r="N60" s="20"/>
      <c r="O60" s="19"/>
      <c r="P60" s="23"/>
      <c r="Q60" s="23"/>
      <c r="R60" s="21"/>
      <c r="S60" s="23"/>
      <c r="T60" s="23"/>
      <c r="U60" s="23"/>
      <c r="V60" s="23"/>
      <c r="W60" s="23"/>
      <c r="X60" s="21"/>
      <c r="Y60" s="21"/>
      <c r="Z60" s="21"/>
      <c r="AA60" s="23"/>
      <c r="AB60" s="23"/>
      <c r="AC60" s="20"/>
      <c r="AD60" s="20"/>
      <c r="AE60" s="23"/>
      <c r="AF60" s="23"/>
      <c r="AG60" s="23"/>
      <c r="AH60" s="23"/>
      <c r="AI60" s="23"/>
      <c r="AJ60" s="23"/>
      <c r="AK60" s="23"/>
      <c r="AL60" s="15"/>
      <c r="AM60" s="23"/>
      <c r="AN60" s="23"/>
      <c r="AO60" s="23"/>
      <c r="AP60" s="20"/>
      <c r="AQ60" s="20"/>
      <c r="AR60" s="20"/>
      <c r="AS60" s="15"/>
      <c r="AT60" s="15"/>
      <c r="AU60" s="15"/>
      <c r="AV60" s="15"/>
      <c r="AW60" s="15"/>
      <c r="AX60" s="15"/>
      <c r="AY60" s="15"/>
      <c r="AZ60" s="15"/>
      <c r="BA60" s="15"/>
      <c r="BB60" s="15"/>
      <c r="BC60" s="15"/>
      <c r="BD60" s="15"/>
      <c r="BE60" s="15"/>
      <c r="BF60" s="15"/>
      <c r="BG60" s="15"/>
      <c r="BH60" s="15"/>
      <c r="BI60" s="15"/>
      <c r="BJ60" s="15"/>
      <c r="BK60" s="23"/>
      <c r="BL60" s="21"/>
    </row>
    <row r="61" spans="1:64" ht="19.5" customHeight="1" x14ac:dyDescent="0.25">
      <c r="A61" s="20"/>
      <c r="B61" s="20"/>
      <c r="C61" s="20"/>
      <c r="D61" s="20"/>
      <c r="E61" s="20"/>
      <c r="F61" s="20"/>
      <c r="G61" s="20"/>
      <c r="H61" s="20"/>
      <c r="I61" s="20"/>
      <c r="J61" s="20"/>
      <c r="K61" s="19"/>
      <c r="L61" s="24"/>
      <c r="M61" s="20"/>
      <c r="N61" s="20"/>
      <c r="O61" s="19"/>
      <c r="P61" s="23"/>
      <c r="Q61" s="23"/>
      <c r="R61" s="21"/>
      <c r="S61" s="23"/>
      <c r="T61" s="23"/>
      <c r="U61" s="23"/>
      <c r="V61" s="23"/>
      <c r="W61" s="23"/>
      <c r="X61" s="21"/>
      <c r="Y61" s="21"/>
      <c r="Z61" s="21"/>
      <c r="AA61" s="23"/>
      <c r="AB61" s="23"/>
      <c r="AC61" s="20"/>
      <c r="AD61" s="20"/>
      <c r="AE61" s="23"/>
      <c r="AF61" s="23"/>
      <c r="AG61" s="23"/>
      <c r="AH61" s="23"/>
      <c r="AI61" s="23"/>
      <c r="AJ61" s="23"/>
      <c r="AK61" s="23"/>
      <c r="AL61" s="15"/>
      <c r="AM61" s="23"/>
      <c r="AN61" s="23"/>
      <c r="AO61" s="23"/>
      <c r="AP61" s="20"/>
      <c r="AQ61" s="20"/>
      <c r="AR61" s="20"/>
      <c r="AS61" s="15"/>
      <c r="AT61" s="15"/>
      <c r="AU61" s="15"/>
      <c r="AV61" s="15"/>
      <c r="AW61" s="15"/>
      <c r="AX61" s="15"/>
      <c r="AY61" s="15"/>
      <c r="AZ61" s="15"/>
      <c r="BA61" s="15"/>
      <c r="BB61" s="15"/>
      <c r="BC61" s="15"/>
      <c r="BD61" s="15"/>
      <c r="BE61" s="15"/>
      <c r="BF61" s="15"/>
      <c r="BG61" s="15"/>
      <c r="BH61" s="15"/>
      <c r="BI61" s="15"/>
      <c r="BJ61" s="15"/>
      <c r="BK61" s="23"/>
      <c r="BL61" s="21"/>
    </row>
    <row r="62" spans="1:64" ht="19.5" customHeight="1" x14ac:dyDescent="0.25">
      <c r="A62" s="20"/>
      <c r="B62" s="20"/>
      <c r="C62" s="20"/>
      <c r="D62" s="20"/>
      <c r="E62" s="20"/>
      <c r="F62" s="20"/>
      <c r="G62" s="20"/>
      <c r="H62" s="20"/>
      <c r="I62" s="20"/>
      <c r="J62" s="20"/>
      <c r="K62" s="19"/>
      <c r="L62" s="24"/>
      <c r="M62" s="20"/>
      <c r="N62" s="20"/>
      <c r="O62" s="19"/>
      <c r="P62" s="23"/>
      <c r="Q62" s="23"/>
      <c r="R62" s="21"/>
      <c r="S62" s="23"/>
      <c r="T62" s="23"/>
      <c r="U62" s="23"/>
      <c r="V62" s="23"/>
      <c r="W62" s="23"/>
      <c r="X62" s="21"/>
      <c r="Y62" s="21"/>
      <c r="Z62" s="21"/>
      <c r="AA62" s="23"/>
      <c r="AB62" s="23"/>
      <c r="AC62" s="20"/>
      <c r="AD62" s="20"/>
      <c r="AE62" s="23"/>
      <c r="AF62" s="23"/>
      <c r="AG62" s="23"/>
      <c r="AH62" s="23"/>
      <c r="AI62" s="23"/>
      <c r="AJ62" s="23"/>
      <c r="AK62" s="23"/>
      <c r="AL62" s="15"/>
      <c r="AM62" s="23"/>
      <c r="AN62" s="23"/>
      <c r="AO62" s="23"/>
      <c r="AP62" s="20"/>
      <c r="AQ62" s="20"/>
      <c r="AR62" s="20"/>
      <c r="AS62" s="15"/>
      <c r="AT62" s="15"/>
      <c r="AU62" s="15"/>
      <c r="AV62" s="15"/>
      <c r="AW62" s="15"/>
      <c r="AX62" s="15"/>
      <c r="AY62" s="15"/>
      <c r="AZ62" s="15"/>
      <c r="BA62" s="15"/>
      <c r="BB62" s="15"/>
      <c r="BC62" s="15"/>
      <c r="BD62" s="15"/>
      <c r="BE62" s="15"/>
      <c r="BF62" s="15"/>
      <c r="BG62" s="15"/>
      <c r="BH62" s="15"/>
      <c r="BI62" s="15"/>
      <c r="BJ62" s="15"/>
      <c r="BK62" s="23"/>
      <c r="BL62" s="21"/>
    </row>
    <row r="63" spans="1:64" ht="19.5" customHeight="1" x14ac:dyDescent="0.25">
      <c r="A63" s="20"/>
      <c r="B63" s="20"/>
      <c r="C63" s="20"/>
      <c r="D63" s="20"/>
      <c r="E63" s="20"/>
      <c r="F63" s="20"/>
      <c r="G63" s="20"/>
      <c r="H63" s="20"/>
      <c r="I63" s="20"/>
      <c r="J63" s="20"/>
      <c r="K63" s="19"/>
      <c r="L63" s="24"/>
      <c r="M63" s="20"/>
      <c r="N63" s="20"/>
      <c r="O63" s="19"/>
      <c r="P63" s="23"/>
      <c r="Q63" s="23"/>
      <c r="R63" s="21"/>
      <c r="S63" s="23"/>
      <c r="T63" s="23"/>
      <c r="U63" s="23"/>
      <c r="V63" s="23"/>
      <c r="W63" s="23"/>
      <c r="X63" s="21"/>
      <c r="Y63" s="21"/>
      <c r="Z63" s="21"/>
      <c r="AA63" s="23"/>
      <c r="AB63" s="23"/>
      <c r="AC63" s="20"/>
      <c r="AD63" s="20"/>
      <c r="AE63" s="23"/>
      <c r="AF63" s="23"/>
      <c r="AG63" s="23"/>
      <c r="AH63" s="23"/>
      <c r="AI63" s="23"/>
      <c r="AJ63" s="23"/>
      <c r="AK63" s="23"/>
      <c r="AL63" s="15"/>
      <c r="AM63" s="23"/>
      <c r="AN63" s="23"/>
      <c r="AO63" s="23"/>
      <c r="AP63" s="20"/>
      <c r="AQ63" s="20"/>
      <c r="AR63" s="20"/>
      <c r="AS63" s="15"/>
      <c r="AT63" s="15"/>
      <c r="AU63" s="15"/>
      <c r="AV63" s="15"/>
      <c r="AW63" s="15"/>
      <c r="AX63" s="15"/>
      <c r="AY63" s="15"/>
      <c r="AZ63" s="15"/>
      <c r="BA63" s="15"/>
      <c r="BB63" s="15"/>
      <c r="BC63" s="15"/>
      <c r="BD63" s="15"/>
      <c r="BE63" s="15"/>
      <c r="BF63" s="15"/>
      <c r="BG63" s="15"/>
      <c r="BH63" s="15"/>
      <c r="BI63" s="15"/>
      <c r="BJ63" s="15"/>
      <c r="BK63" s="23"/>
      <c r="BL63" s="21"/>
    </row>
    <row r="64" spans="1:64" ht="19.5" customHeight="1" x14ac:dyDescent="0.25">
      <c r="A64" s="20"/>
      <c r="B64" s="20"/>
      <c r="C64" s="20"/>
      <c r="D64" s="20"/>
      <c r="E64" s="20"/>
      <c r="F64" s="20"/>
      <c r="G64" s="20"/>
      <c r="H64" s="20"/>
      <c r="I64" s="20"/>
      <c r="J64" s="20"/>
      <c r="K64" s="19"/>
      <c r="L64" s="24"/>
      <c r="M64" s="20"/>
      <c r="N64" s="20"/>
      <c r="O64" s="19"/>
      <c r="P64" s="23"/>
      <c r="Q64" s="23"/>
      <c r="R64" s="21"/>
      <c r="S64" s="23"/>
      <c r="T64" s="23"/>
      <c r="U64" s="23"/>
      <c r="V64" s="23"/>
      <c r="W64" s="23"/>
      <c r="X64" s="21"/>
      <c r="Y64" s="21"/>
      <c r="Z64" s="21"/>
      <c r="AA64" s="23"/>
      <c r="AB64" s="23"/>
      <c r="AC64" s="20"/>
      <c r="AD64" s="20"/>
      <c r="AE64" s="23"/>
      <c r="AF64" s="23"/>
      <c r="AG64" s="23"/>
      <c r="AH64" s="23"/>
      <c r="AI64" s="23"/>
      <c r="AJ64" s="23"/>
      <c r="AK64" s="23"/>
      <c r="AL64" s="15"/>
      <c r="AM64" s="23"/>
      <c r="AN64" s="23"/>
      <c r="AO64" s="23"/>
      <c r="AP64" s="20"/>
      <c r="AQ64" s="20"/>
      <c r="AR64" s="20"/>
      <c r="AS64" s="15"/>
      <c r="AT64" s="15"/>
      <c r="AU64" s="15"/>
      <c r="AV64" s="15"/>
      <c r="AW64" s="15"/>
      <c r="AX64" s="15"/>
      <c r="AY64" s="15"/>
      <c r="AZ64" s="15"/>
      <c r="BA64" s="15"/>
      <c r="BB64" s="15"/>
      <c r="BC64" s="15"/>
      <c r="BD64" s="15"/>
      <c r="BE64" s="15"/>
      <c r="BF64" s="15"/>
      <c r="BG64" s="15"/>
      <c r="BH64" s="15"/>
      <c r="BI64" s="15"/>
      <c r="BJ64" s="15"/>
      <c r="BK64" s="23"/>
      <c r="BL64" s="21"/>
    </row>
    <row r="65" spans="1:64" ht="19.5" customHeight="1" x14ac:dyDescent="0.25">
      <c r="A65" s="20"/>
      <c r="B65" s="20"/>
      <c r="C65" s="20"/>
      <c r="D65" s="20"/>
      <c r="E65" s="20"/>
      <c r="F65" s="20"/>
      <c r="G65" s="20"/>
      <c r="H65" s="20"/>
      <c r="I65" s="20"/>
      <c r="J65" s="20"/>
      <c r="K65" s="19"/>
      <c r="L65" s="24"/>
      <c r="M65" s="20"/>
      <c r="N65" s="20"/>
      <c r="O65" s="19"/>
      <c r="P65" s="23"/>
      <c r="Q65" s="23"/>
      <c r="R65" s="21"/>
      <c r="S65" s="23"/>
      <c r="T65" s="23"/>
      <c r="U65" s="23"/>
      <c r="V65" s="23"/>
      <c r="W65" s="23"/>
      <c r="X65" s="21"/>
      <c r="Y65" s="21"/>
      <c r="Z65" s="21"/>
      <c r="AA65" s="23"/>
      <c r="AB65" s="23"/>
      <c r="AC65" s="20"/>
      <c r="AD65" s="20"/>
      <c r="AE65" s="23"/>
      <c r="AF65" s="23"/>
      <c r="AG65" s="23"/>
      <c r="AH65" s="23"/>
      <c r="AI65" s="23"/>
      <c r="AJ65" s="23"/>
      <c r="AK65" s="23"/>
      <c r="AL65" s="15"/>
      <c r="AM65" s="23"/>
      <c r="AN65" s="23"/>
      <c r="AO65" s="23"/>
      <c r="AP65" s="20"/>
      <c r="AQ65" s="20"/>
      <c r="AR65" s="20"/>
      <c r="AS65" s="15"/>
      <c r="AT65" s="15"/>
      <c r="AU65" s="15"/>
      <c r="AV65" s="15"/>
      <c r="AW65" s="15"/>
      <c r="AX65" s="15"/>
      <c r="AY65" s="15"/>
      <c r="AZ65" s="15"/>
      <c r="BA65" s="15"/>
      <c r="BB65" s="15"/>
      <c r="BC65" s="15"/>
      <c r="BD65" s="15"/>
      <c r="BE65" s="15"/>
      <c r="BF65" s="15"/>
      <c r="BG65" s="15"/>
      <c r="BH65" s="15"/>
      <c r="BI65" s="15"/>
      <c r="BJ65" s="15"/>
      <c r="BK65" s="23"/>
      <c r="BL65" s="21"/>
    </row>
    <row r="66" spans="1:64" ht="19.5" customHeight="1" x14ac:dyDescent="0.25">
      <c r="A66" s="20"/>
      <c r="B66" s="20"/>
      <c r="C66" s="20"/>
      <c r="D66" s="20"/>
      <c r="E66" s="20"/>
      <c r="F66" s="20"/>
      <c r="G66" s="20"/>
      <c r="H66" s="20"/>
      <c r="I66" s="20"/>
      <c r="J66" s="20"/>
      <c r="K66" s="19"/>
      <c r="L66" s="24"/>
      <c r="M66" s="20"/>
      <c r="N66" s="20"/>
      <c r="O66" s="19"/>
      <c r="P66" s="23"/>
      <c r="Q66" s="23"/>
      <c r="R66" s="21"/>
      <c r="S66" s="23"/>
      <c r="T66" s="23"/>
      <c r="U66" s="23"/>
      <c r="V66" s="23"/>
      <c r="W66" s="23"/>
      <c r="X66" s="21"/>
      <c r="Y66" s="21"/>
      <c r="Z66" s="21"/>
      <c r="AA66" s="23"/>
      <c r="AB66" s="23"/>
      <c r="AC66" s="20"/>
      <c r="AD66" s="20"/>
      <c r="AE66" s="23"/>
      <c r="AF66" s="23"/>
      <c r="AG66" s="23"/>
      <c r="AH66" s="23"/>
      <c r="AI66" s="23"/>
      <c r="AJ66" s="23"/>
      <c r="AK66" s="23"/>
      <c r="AL66" s="15"/>
      <c r="AM66" s="23"/>
      <c r="AN66" s="23"/>
      <c r="AO66" s="23"/>
      <c r="AP66" s="20"/>
      <c r="AQ66" s="20"/>
      <c r="AR66" s="20"/>
      <c r="AS66" s="15"/>
      <c r="AT66" s="15"/>
      <c r="AU66" s="15"/>
      <c r="AV66" s="15"/>
      <c r="AW66" s="15"/>
      <c r="AX66" s="15"/>
      <c r="AY66" s="15"/>
      <c r="AZ66" s="15"/>
      <c r="BA66" s="15"/>
      <c r="BB66" s="15"/>
      <c r="BC66" s="15"/>
      <c r="BD66" s="15"/>
      <c r="BE66" s="15"/>
      <c r="BF66" s="15"/>
      <c r="BG66" s="15"/>
      <c r="BH66" s="15"/>
      <c r="BI66" s="15"/>
      <c r="BJ66" s="15"/>
      <c r="BK66" s="23"/>
      <c r="BL66" s="21"/>
    </row>
    <row r="67" spans="1:64" ht="19.5" customHeight="1" x14ac:dyDescent="0.25">
      <c r="A67" s="20"/>
      <c r="B67" s="20"/>
      <c r="C67" s="20"/>
      <c r="D67" s="20"/>
      <c r="E67" s="20"/>
      <c r="F67" s="20"/>
      <c r="G67" s="20"/>
      <c r="H67" s="20"/>
      <c r="I67" s="20"/>
      <c r="J67" s="20"/>
      <c r="K67" s="19"/>
      <c r="L67" s="24"/>
      <c r="M67" s="20"/>
      <c r="N67" s="20"/>
      <c r="O67" s="19"/>
      <c r="P67" s="23"/>
      <c r="Q67" s="23"/>
      <c r="R67" s="21"/>
      <c r="S67" s="23"/>
      <c r="T67" s="23"/>
      <c r="U67" s="23"/>
      <c r="V67" s="23"/>
      <c r="W67" s="23"/>
      <c r="X67" s="21"/>
      <c r="Y67" s="21"/>
      <c r="Z67" s="21"/>
      <c r="AA67" s="23"/>
      <c r="AB67" s="23"/>
      <c r="AC67" s="20"/>
      <c r="AD67" s="20"/>
      <c r="AE67" s="23"/>
      <c r="AF67" s="23"/>
      <c r="AG67" s="23"/>
      <c r="AH67" s="23"/>
      <c r="AI67" s="23"/>
      <c r="AJ67" s="23"/>
      <c r="AK67" s="23"/>
      <c r="AL67" s="15"/>
      <c r="AM67" s="23"/>
      <c r="AN67" s="23"/>
      <c r="AO67" s="23"/>
      <c r="AP67" s="20"/>
      <c r="AQ67" s="20"/>
      <c r="AR67" s="20"/>
      <c r="AS67" s="15"/>
      <c r="AT67" s="15"/>
      <c r="AU67" s="15"/>
      <c r="AV67" s="15"/>
      <c r="AW67" s="15"/>
      <c r="AX67" s="15"/>
      <c r="AY67" s="15"/>
      <c r="AZ67" s="15"/>
      <c r="BA67" s="15"/>
      <c r="BB67" s="15"/>
      <c r="BC67" s="15"/>
      <c r="BD67" s="15"/>
      <c r="BE67" s="15"/>
      <c r="BF67" s="15"/>
      <c r="BG67" s="15"/>
      <c r="BH67" s="15"/>
      <c r="BI67" s="15"/>
      <c r="BJ67" s="15"/>
      <c r="BK67" s="23"/>
      <c r="BL67" s="21"/>
    </row>
    <row r="68" spans="1:64" ht="19.5" customHeight="1" x14ac:dyDescent="0.25">
      <c r="A68" s="20"/>
      <c r="B68" s="20"/>
      <c r="C68" s="20"/>
      <c r="D68" s="20"/>
      <c r="E68" s="20"/>
      <c r="F68" s="20"/>
      <c r="G68" s="20"/>
      <c r="H68" s="20"/>
      <c r="I68" s="20"/>
      <c r="J68" s="20"/>
      <c r="K68" s="19"/>
      <c r="L68" s="24"/>
      <c r="M68" s="20"/>
      <c r="N68" s="20"/>
      <c r="O68" s="19"/>
      <c r="P68" s="23"/>
      <c r="Q68" s="23"/>
      <c r="R68" s="21"/>
      <c r="S68" s="23"/>
      <c r="T68" s="23"/>
      <c r="U68" s="23"/>
      <c r="V68" s="23"/>
      <c r="W68" s="23"/>
      <c r="X68" s="21"/>
      <c r="Y68" s="21"/>
      <c r="Z68" s="21"/>
      <c r="AA68" s="23"/>
      <c r="AB68" s="23"/>
      <c r="AC68" s="20"/>
      <c r="AD68" s="20"/>
      <c r="AE68" s="23"/>
      <c r="AF68" s="23"/>
      <c r="AG68" s="23"/>
      <c r="AH68" s="23"/>
      <c r="AI68" s="23"/>
      <c r="AJ68" s="23"/>
      <c r="AK68" s="23"/>
      <c r="AL68" s="15"/>
      <c r="AM68" s="23"/>
      <c r="AN68" s="23"/>
      <c r="AO68" s="23"/>
      <c r="AP68" s="20"/>
      <c r="AQ68" s="20"/>
      <c r="AR68" s="20"/>
      <c r="AS68" s="15"/>
      <c r="AT68" s="15"/>
      <c r="AU68" s="15"/>
      <c r="AV68" s="15"/>
      <c r="AW68" s="15"/>
      <c r="AX68" s="15"/>
      <c r="AY68" s="15"/>
      <c r="AZ68" s="15"/>
      <c r="BA68" s="15"/>
      <c r="BB68" s="15"/>
      <c r="BC68" s="15"/>
      <c r="BD68" s="15"/>
      <c r="BE68" s="15"/>
      <c r="BF68" s="15"/>
      <c r="BG68" s="15"/>
      <c r="BH68" s="15"/>
      <c r="BI68" s="15"/>
      <c r="BJ68" s="15"/>
      <c r="BK68" s="23"/>
      <c r="BL68" s="21"/>
    </row>
    <row r="69" spans="1:64" ht="19.5" customHeight="1" x14ac:dyDescent="0.25">
      <c r="A69" s="20"/>
      <c r="B69" s="20"/>
      <c r="C69" s="20"/>
      <c r="D69" s="20"/>
      <c r="E69" s="20"/>
      <c r="F69" s="20"/>
      <c r="G69" s="20"/>
      <c r="H69" s="20"/>
      <c r="I69" s="20"/>
      <c r="J69" s="20"/>
      <c r="K69" s="19"/>
      <c r="L69" s="24"/>
      <c r="M69" s="20"/>
      <c r="N69" s="20"/>
      <c r="O69" s="19"/>
      <c r="P69" s="23"/>
      <c r="Q69" s="23"/>
      <c r="R69" s="21"/>
      <c r="S69" s="23"/>
      <c r="T69" s="23"/>
      <c r="U69" s="23"/>
      <c r="V69" s="23"/>
      <c r="W69" s="23"/>
      <c r="X69" s="21"/>
      <c r="Y69" s="21"/>
      <c r="Z69" s="21"/>
      <c r="AA69" s="23"/>
      <c r="AB69" s="23"/>
      <c r="AC69" s="20"/>
      <c r="AD69" s="20"/>
      <c r="AE69" s="23"/>
      <c r="AF69" s="23"/>
      <c r="AG69" s="23"/>
      <c r="AH69" s="23"/>
      <c r="AI69" s="23"/>
      <c r="AJ69" s="23"/>
      <c r="AK69" s="23"/>
      <c r="AL69" s="15"/>
      <c r="AM69" s="23"/>
      <c r="AN69" s="23"/>
      <c r="AO69" s="23"/>
      <c r="AP69" s="20"/>
      <c r="AQ69" s="20"/>
      <c r="AR69" s="20"/>
      <c r="AS69" s="15"/>
      <c r="AT69" s="15"/>
      <c r="AU69" s="15"/>
      <c r="AV69" s="15"/>
      <c r="AW69" s="15"/>
      <c r="AX69" s="15"/>
      <c r="AY69" s="15"/>
      <c r="AZ69" s="15"/>
      <c r="BA69" s="15"/>
      <c r="BB69" s="15"/>
      <c r="BC69" s="15"/>
      <c r="BD69" s="15"/>
      <c r="BE69" s="15"/>
      <c r="BF69" s="15"/>
      <c r="BG69" s="15"/>
      <c r="BH69" s="15"/>
      <c r="BI69" s="15"/>
      <c r="BJ69" s="15"/>
      <c r="BK69" s="23"/>
      <c r="BL69" s="21"/>
    </row>
    <row r="70" spans="1:64" ht="19.5" customHeight="1" x14ac:dyDescent="0.25">
      <c r="A70" s="20"/>
      <c r="B70" s="20"/>
      <c r="C70" s="20"/>
      <c r="D70" s="20"/>
      <c r="E70" s="20"/>
      <c r="F70" s="20"/>
      <c r="G70" s="20"/>
      <c r="H70" s="20"/>
      <c r="I70" s="20"/>
      <c r="J70" s="20"/>
      <c r="K70" s="19"/>
      <c r="L70" s="24"/>
      <c r="M70" s="20"/>
      <c r="N70" s="20"/>
      <c r="O70" s="19"/>
      <c r="P70" s="23"/>
      <c r="Q70" s="23"/>
      <c r="R70" s="21"/>
      <c r="S70" s="23"/>
      <c r="T70" s="23"/>
      <c r="U70" s="23"/>
      <c r="V70" s="23"/>
      <c r="W70" s="23"/>
      <c r="X70" s="21"/>
      <c r="Y70" s="21"/>
      <c r="Z70" s="21"/>
      <c r="AA70" s="23"/>
      <c r="AB70" s="23"/>
      <c r="AC70" s="20"/>
      <c r="AD70" s="20"/>
      <c r="AE70" s="23"/>
      <c r="AF70" s="23"/>
      <c r="AG70" s="23"/>
      <c r="AH70" s="23"/>
      <c r="AI70" s="23"/>
      <c r="AJ70" s="23"/>
      <c r="AK70" s="23"/>
      <c r="AL70" s="15"/>
      <c r="AM70" s="23"/>
      <c r="AN70" s="23"/>
      <c r="AO70" s="23"/>
      <c r="AP70" s="20"/>
      <c r="AQ70" s="20"/>
      <c r="AR70" s="20"/>
      <c r="AS70" s="15"/>
      <c r="AT70" s="15"/>
      <c r="AU70" s="15"/>
      <c r="AV70" s="15"/>
      <c r="AW70" s="15"/>
      <c r="AX70" s="15"/>
      <c r="AY70" s="15"/>
      <c r="AZ70" s="15"/>
      <c r="BA70" s="15"/>
      <c r="BB70" s="15"/>
      <c r="BC70" s="15"/>
      <c r="BD70" s="15"/>
      <c r="BE70" s="15"/>
      <c r="BF70" s="15"/>
      <c r="BG70" s="15"/>
      <c r="BH70" s="15"/>
      <c r="BI70" s="15"/>
      <c r="BJ70" s="15"/>
      <c r="BK70" s="23"/>
      <c r="BL70" s="21"/>
    </row>
    <row r="71" spans="1:64" ht="19.5" customHeight="1" x14ac:dyDescent="0.25">
      <c r="A71" s="20"/>
      <c r="B71" s="20"/>
      <c r="C71" s="20"/>
      <c r="D71" s="20"/>
      <c r="E71" s="20"/>
      <c r="F71" s="20"/>
      <c r="G71" s="20"/>
      <c r="H71" s="20"/>
      <c r="I71" s="20"/>
      <c r="J71" s="20"/>
      <c r="K71" s="19"/>
      <c r="L71" s="24"/>
      <c r="M71" s="20"/>
      <c r="N71" s="20"/>
      <c r="O71" s="19"/>
      <c r="P71" s="23"/>
      <c r="Q71" s="23"/>
      <c r="R71" s="21"/>
      <c r="S71" s="23"/>
      <c r="T71" s="23"/>
      <c r="U71" s="23"/>
      <c r="V71" s="23"/>
      <c r="W71" s="23"/>
      <c r="X71" s="21"/>
      <c r="Y71" s="21"/>
      <c r="Z71" s="21"/>
      <c r="AA71" s="23"/>
      <c r="AB71" s="23"/>
      <c r="AC71" s="20"/>
      <c r="AD71" s="20"/>
      <c r="AE71" s="23"/>
      <c r="AF71" s="23"/>
      <c r="AG71" s="23"/>
      <c r="AH71" s="23"/>
      <c r="AI71" s="23"/>
      <c r="AJ71" s="23"/>
      <c r="AK71" s="23"/>
      <c r="AL71" s="15"/>
      <c r="AM71" s="23"/>
      <c r="AN71" s="23"/>
      <c r="AO71" s="23"/>
      <c r="AP71" s="20"/>
      <c r="AQ71" s="20"/>
      <c r="AR71" s="20"/>
      <c r="AS71" s="15"/>
      <c r="AT71" s="15"/>
      <c r="AU71" s="15"/>
      <c r="AV71" s="15"/>
      <c r="AW71" s="15"/>
      <c r="AX71" s="15"/>
      <c r="AY71" s="15"/>
      <c r="AZ71" s="15"/>
      <c r="BA71" s="15"/>
      <c r="BB71" s="15"/>
      <c r="BC71" s="15"/>
      <c r="BD71" s="15"/>
      <c r="BE71" s="15"/>
      <c r="BF71" s="15"/>
      <c r="BG71" s="15"/>
      <c r="BH71" s="15"/>
      <c r="BI71" s="15"/>
      <c r="BJ71" s="15"/>
      <c r="BK71" s="23"/>
      <c r="BL71" s="21"/>
    </row>
    <row r="72" spans="1:64" ht="19.5" customHeight="1" x14ac:dyDescent="0.25">
      <c r="A72" s="20"/>
      <c r="B72" s="20"/>
      <c r="C72" s="20"/>
      <c r="D72" s="20"/>
      <c r="E72" s="20"/>
      <c r="F72" s="20"/>
      <c r="G72" s="20"/>
      <c r="H72" s="20"/>
      <c r="I72" s="20"/>
      <c r="J72" s="20"/>
      <c r="K72" s="19"/>
      <c r="L72" s="24"/>
      <c r="M72" s="20"/>
      <c r="N72" s="20"/>
      <c r="O72" s="19"/>
      <c r="P72" s="23"/>
      <c r="Q72" s="23"/>
      <c r="R72" s="21"/>
      <c r="S72" s="23"/>
      <c r="T72" s="23"/>
      <c r="U72" s="23"/>
      <c r="V72" s="23"/>
      <c r="W72" s="23"/>
      <c r="X72" s="21"/>
      <c r="Y72" s="21"/>
      <c r="Z72" s="21"/>
      <c r="AA72" s="23"/>
      <c r="AB72" s="23"/>
      <c r="AC72" s="20"/>
      <c r="AD72" s="20"/>
      <c r="AE72" s="23"/>
      <c r="AF72" s="23"/>
      <c r="AG72" s="23"/>
      <c r="AH72" s="23"/>
      <c r="AI72" s="23"/>
      <c r="AJ72" s="23"/>
      <c r="AK72" s="23"/>
      <c r="AL72" s="15"/>
      <c r="AM72" s="23"/>
      <c r="AN72" s="23"/>
      <c r="AO72" s="23"/>
      <c r="AP72" s="20"/>
      <c r="AQ72" s="20"/>
      <c r="AR72" s="20"/>
      <c r="AS72" s="15"/>
      <c r="AT72" s="15"/>
      <c r="AU72" s="15"/>
      <c r="AV72" s="15"/>
      <c r="AW72" s="15"/>
      <c r="AX72" s="15"/>
      <c r="AY72" s="15"/>
      <c r="AZ72" s="15"/>
      <c r="BA72" s="15"/>
      <c r="BB72" s="15"/>
      <c r="BC72" s="15"/>
      <c r="BD72" s="15"/>
      <c r="BE72" s="15"/>
      <c r="BF72" s="15"/>
      <c r="BG72" s="15"/>
      <c r="BH72" s="15"/>
      <c r="BI72" s="15"/>
      <c r="BJ72" s="15"/>
      <c r="BK72" s="23"/>
      <c r="BL72" s="21"/>
    </row>
    <row r="73" spans="1:64" ht="19.5" customHeight="1" x14ac:dyDescent="0.25">
      <c r="A73" s="20"/>
      <c r="B73" s="20"/>
      <c r="C73" s="20"/>
      <c r="D73" s="20"/>
      <c r="E73" s="20"/>
      <c r="F73" s="20"/>
      <c r="G73" s="20"/>
      <c r="H73" s="20"/>
      <c r="I73" s="20"/>
      <c r="J73" s="20"/>
      <c r="K73" s="19"/>
      <c r="L73" s="24"/>
      <c r="M73" s="20"/>
      <c r="N73" s="20"/>
      <c r="O73" s="19"/>
      <c r="P73" s="23"/>
      <c r="Q73" s="23"/>
      <c r="R73" s="21"/>
      <c r="S73" s="23"/>
      <c r="T73" s="23"/>
      <c r="U73" s="23"/>
      <c r="V73" s="23"/>
      <c r="W73" s="23"/>
      <c r="X73" s="21"/>
      <c r="Y73" s="21"/>
      <c r="Z73" s="21"/>
      <c r="AA73" s="23"/>
      <c r="AB73" s="23"/>
      <c r="AC73" s="20"/>
      <c r="AD73" s="20"/>
      <c r="AE73" s="23"/>
      <c r="AF73" s="23"/>
      <c r="AG73" s="23"/>
      <c r="AH73" s="23"/>
      <c r="AI73" s="23"/>
      <c r="AJ73" s="23"/>
      <c r="AK73" s="23"/>
      <c r="AL73" s="15"/>
      <c r="AM73" s="23"/>
      <c r="AN73" s="23"/>
      <c r="AO73" s="23"/>
      <c r="AP73" s="20"/>
      <c r="AQ73" s="20"/>
      <c r="AR73" s="20"/>
      <c r="AS73" s="15"/>
      <c r="AT73" s="15"/>
      <c r="AU73" s="15"/>
      <c r="AV73" s="15"/>
      <c r="AW73" s="15"/>
      <c r="AX73" s="15"/>
      <c r="AY73" s="15"/>
      <c r="AZ73" s="15"/>
      <c r="BA73" s="15"/>
      <c r="BB73" s="15"/>
      <c r="BC73" s="15"/>
      <c r="BD73" s="15"/>
      <c r="BE73" s="15"/>
      <c r="BF73" s="15"/>
      <c r="BG73" s="15"/>
      <c r="BH73" s="15"/>
      <c r="BI73" s="15"/>
      <c r="BJ73" s="15"/>
      <c r="BK73" s="23"/>
      <c r="BL73" s="21"/>
    </row>
    <row r="74" spans="1:64" ht="19.5" customHeight="1" x14ac:dyDescent="0.25">
      <c r="A74" s="20"/>
      <c r="B74" s="20"/>
      <c r="C74" s="20"/>
      <c r="D74" s="20"/>
      <c r="E74" s="20"/>
      <c r="F74" s="20"/>
      <c r="G74" s="20"/>
      <c r="H74" s="20"/>
      <c r="I74" s="20"/>
      <c r="J74" s="20"/>
      <c r="K74" s="19"/>
      <c r="L74" s="24"/>
      <c r="M74" s="20"/>
      <c r="N74" s="20"/>
      <c r="O74" s="19"/>
      <c r="P74" s="23"/>
      <c r="Q74" s="23"/>
      <c r="R74" s="21"/>
      <c r="S74" s="23"/>
      <c r="T74" s="23"/>
      <c r="U74" s="23"/>
      <c r="V74" s="23"/>
      <c r="W74" s="23"/>
      <c r="X74" s="21"/>
      <c r="Y74" s="21"/>
      <c r="Z74" s="21"/>
      <c r="AA74" s="23"/>
      <c r="AB74" s="23"/>
      <c r="AC74" s="20"/>
      <c r="AD74" s="20"/>
      <c r="AE74" s="23"/>
      <c r="AF74" s="23"/>
      <c r="AG74" s="23"/>
      <c r="AH74" s="23"/>
      <c r="AI74" s="23"/>
      <c r="AJ74" s="23"/>
      <c r="AK74" s="23"/>
      <c r="AL74" s="15"/>
      <c r="AM74" s="23"/>
      <c r="AN74" s="23"/>
      <c r="AO74" s="23"/>
      <c r="AP74" s="20"/>
      <c r="AQ74" s="20"/>
      <c r="AR74" s="20"/>
      <c r="AS74" s="15"/>
      <c r="AT74" s="15"/>
      <c r="AU74" s="15"/>
      <c r="AV74" s="15"/>
      <c r="AW74" s="15"/>
      <c r="AX74" s="15"/>
      <c r="AY74" s="15"/>
      <c r="AZ74" s="15"/>
      <c r="BA74" s="15"/>
      <c r="BB74" s="15"/>
      <c r="BC74" s="15"/>
      <c r="BD74" s="15"/>
      <c r="BE74" s="15"/>
      <c r="BF74" s="15"/>
      <c r="BG74" s="15"/>
      <c r="BH74" s="15"/>
      <c r="BI74" s="15"/>
      <c r="BJ74" s="15"/>
      <c r="BK74" s="23"/>
      <c r="BL74" s="21"/>
    </row>
    <row r="75" spans="1:64" ht="19.5" customHeight="1" x14ac:dyDescent="0.25">
      <c r="A75" s="20"/>
      <c r="B75" s="20"/>
      <c r="C75" s="20"/>
      <c r="D75" s="20"/>
      <c r="E75" s="20"/>
      <c r="F75" s="20"/>
      <c r="G75" s="20"/>
      <c r="H75" s="20"/>
      <c r="I75" s="20"/>
      <c r="J75" s="20"/>
      <c r="K75" s="19"/>
      <c r="L75" s="24"/>
      <c r="M75" s="20"/>
      <c r="N75" s="20"/>
      <c r="O75" s="19"/>
      <c r="P75" s="23"/>
      <c r="Q75" s="23"/>
      <c r="R75" s="21"/>
      <c r="S75" s="23"/>
      <c r="T75" s="23"/>
      <c r="U75" s="23"/>
      <c r="V75" s="23"/>
      <c r="W75" s="23"/>
      <c r="X75" s="21"/>
      <c r="Y75" s="21"/>
      <c r="Z75" s="21"/>
      <c r="AA75" s="23"/>
      <c r="AB75" s="23"/>
      <c r="AC75" s="20"/>
      <c r="AD75" s="20"/>
      <c r="AE75" s="23"/>
      <c r="AF75" s="23"/>
      <c r="AG75" s="23"/>
      <c r="AH75" s="23"/>
      <c r="AI75" s="23"/>
      <c r="AJ75" s="23"/>
      <c r="AK75" s="23"/>
      <c r="AL75" s="15"/>
      <c r="AM75" s="23"/>
      <c r="AN75" s="23"/>
      <c r="AO75" s="23"/>
      <c r="AP75" s="20"/>
      <c r="AQ75" s="20"/>
      <c r="AR75" s="20"/>
      <c r="AS75" s="15"/>
      <c r="AT75" s="15"/>
      <c r="AU75" s="15"/>
      <c r="AV75" s="15"/>
      <c r="AW75" s="15"/>
      <c r="AX75" s="15"/>
      <c r="AY75" s="15"/>
      <c r="AZ75" s="15"/>
      <c r="BA75" s="15"/>
      <c r="BB75" s="15"/>
      <c r="BC75" s="15"/>
      <c r="BD75" s="15"/>
      <c r="BE75" s="15"/>
      <c r="BF75" s="15"/>
      <c r="BG75" s="15"/>
      <c r="BH75" s="15"/>
      <c r="BI75" s="15"/>
      <c r="BJ75" s="15"/>
      <c r="BK75" s="23"/>
      <c r="BL75" s="21"/>
    </row>
    <row r="76" spans="1:64" ht="19.5" customHeight="1" x14ac:dyDescent="0.25">
      <c r="A76" s="20"/>
      <c r="B76" s="20"/>
      <c r="C76" s="20"/>
      <c r="D76" s="20"/>
      <c r="E76" s="20"/>
      <c r="F76" s="20"/>
      <c r="G76" s="20"/>
      <c r="H76" s="20"/>
      <c r="I76" s="20"/>
      <c r="J76" s="20"/>
      <c r="K76" s="19"/>
      <c r="L76" s="24"/>
      <c r="M76" s="20"/>
      <c r="N76" s="20"/>
      <c r="O76" s="19"/>
      <c r="P76" s="23"/>
      <c r="Q76" s="23"/>
      <c r="R76" s="21"/>
      <c r="S76" s="23"/>
      <c r="T76" s="23"/>
      <c r="U76" s="23"/>
      <c r="V76" s="23"/>
      <c r="W76" s="23"/>
      <c r="X76" s="21"/>
      <c r="Y76" s="21"/>
      <c r="Z76" s="21"/>
      <c r="AA76" s="23"/>
      <c r="AB76" s="23"/>
      <c r="AC76" s="20"/>
      <c r="AD76" s="20"/>
      <c r="AE76" s="23"/>
      <c r="AF76" s="23"/>
      <c r="AG76" s="23"/>
      <c r="AH76" s="23"/>
      <c r="AI76" s="23"/>
      <c r="AJ76" s="23"/>
      <c r="AK76" s="23"/>
      <c r="AL76" s="15"/>
      <c r="AM76" s="23"/>
      <c r="AN76" s="23"/>
      <c r="AO76" s="23"/>
      <c r="AP76" s="20"/>
      <c r="AQ76" s="20"/>
      <c r="AR76" s="20"/>
      <c r="AS76" s="15"/>
      <c r="AT76" s="15"/>
      <c r="AU76" s="15"/>
      <c r="AV76" s="15"/>
      <c r="AW76" s="15"/>
      <c r="AX76" s="15"/>
      <c r="AY76" s="15"/>
      <c r="AZ76" s="15"/>
      <c r="BA76" s="15"/>
      <c r="BB76" s="15"/>
      <c r="BC76" s="15"/>
      <c r="BD76" s="15"/>
      <c r="BE76" s="15"/>
      <c r="BF76" s="15"/>
      <c r="BG76" s="15"/>
      <c r="BH76" s="15"/>
      <c r="BI76" s="15"/>
      <c r="BJ76" s="15"/>
      <c r="BK76" s="23"/>
      <c r="BL76" s="21"/>
    </row>
    <row r="77" spans="1:64" ht="19.5" customHeight="1" x14ac:dyDescent="0.25">
      <c r="A77" s="20"/>
      <c r="B77" s="20"/>
      <c r="C77" s="20"/>
      <c r="D77" s="20"/>
      <c r="E77" s="20"/>
      <c r="F77" s="20"/>
      <c r="G77" s="20"/>
      <c r="H77" s="20"/>
      <c r="I77" s="20"/>
      <c r="J77" s="20"/>
      <c r="K77" s="19"/>
      <c r="L77" s="24"/>
      <c r="M77" s="20"/>
      <c r="N77" s="20"/>
      <c r="O77" s="19"/>
      <c r="P77" s="23"/>
      <c r="Q77" s="23"/>
      <c r="R77" s="21"/>
      <c r="S77" s="23"/>
      <c r="T77" s="23"/>
      <c r="U77" s="23"/>
      <c r="V77" s="23"/>
      <c r="W77" s="23"/>
      <c r="X77" s="21"/>
      <c r="Y77" s="21"/>
      <c r="Z77" s="21"/>
      <c r="AA77" s="23"/>
      <c r="AB77" s="23"/>
      <c r="AC77" s="20"/>
      <c r="AD77" s="20"/>
      <c r="AE77" s="23"/>
      <c r="AF77" s="23"/>
      <c r="AG77" s="23"/>
      <c r="AH77" s="23"/>
      <c r="AI77" s="23"/>
      <c r="AJ77" s="23"/>
      <c r="AK77" s="23"/>
      <c r="AL77" s="15"/>
      <c r="AM77" s="23"/>
      <c r="AN77" s="23"/>
      <c r="AO77" s="23"/>
      <c r="AP77" s="20"/>
      <c r="AQ77" s="20"/>
      <c r="AR77" s="20"/>
      <c r="AS77" s="15"/>
      <c r="AT77" s="15"/>
      <c r="AU77" s="15"/>
      <c r="AV77" s="15"/>
      <c r="AW77" s="15"/>
      <c r="AX77" s="15"/>
      <c r="AY77" s="15"/>
      <c r="AZ77" s="15"/>
      <c r="BA77" s="15"/>
      <c r="BB77" s="15"/>
      <c r="BC77" s="15"/>
      <c r="BD77" s="15"/>
      <c r="BE77" s="15"/>
      <c r="BF77" s="15"/>
      <c r="BG77" s="15"/>
      <c r="BH77" s="15"/>
      <c r="BI77" s="15"/>
      <c r="BJ77" s="15"/>
      <c r="BK77" s="23"/>
      <c r="BL77" s="21"/>
    </row>
    <row r="78" spans="1:64" ht="19.5" customHeight="1" x14ac:dyDescent="0.25">
      <c r="A78" s="20"/>
      <c r="B78" s="20"/>
      <c r="C78" s="20"/>
      <c r="D78" s="20"/>
      <c r="E78" s="20"/>
      <c r="F78" s="20"/>
      <c r="G78" s="20"/>
      <c r="H78" s="20"/>
      <c r="I78" s="20"/>
      <c r="J78" s="20"/>
      <c r="K78" s="19"/>
      <c r="L78" s="24"/>
      <c r="M78" s="20"/>
      <c r="N78" s="20"/>
      <c r="O78" s="19"/>
      <c r="P78" s="23"/>
      <c r="Q78" s="23"/>
      <c r="R78" s="21"/>
      <c r="S78" s="23"/>
      <c r="T78" s="23"/>
      <c r="U78" s="23"/>
      <c r="V78" s="23"/>
      <c r="W78" s="23"/>
      <c r="X78" s="21"/>
      <c r="Y78" s="21"/>
      <c r="Z78" s="21"/>
      <c r="AA78" s="23"/>
      <c r="AB78" s="23"/>
      <c r="AC78" s="20"/>
      <c r="AD78" s="20"/>
      <c r="AE78" s="23"/>
      <c r="AF78" s="23"/>
      <c r="AG78" s="23"/>
      <c r="AH78" s="23"/>
      <c r="AI78" s="23"/>
      <c r="AJ78" s="23"/>
      <c r="AK78" s="23"/>
      <c r="AL78" s="15"/>
      <c r="AM78" s="23"/>
      <c r="AN78" s="23"/>
      <c r="AO78" s="23"/>
      <c r="AP78" s="20"/>
      <c r="AQ78" s="20"/>
      <c r="AR78" s="20"/>
      <c r="AS78" s="15"/>
      <c r="AT78" s="15"/>
      <c r="AU78" s="15"/>
      <c r="AV78" s="15"/>
      <c r="AW78" s="15"/>
      <c r="AX78" s="15"/>
      <c r="AY78" s="15"/>
      <c r="AZ78" s="15"/>
      <c r="BA78" s="15"/>
      <c r="BB78" s="15"/>
      <c r="BC78" s="15"/>
      <c r="BD78" s="15"/>
      <c r="BE78" s="15"/>
      <c r="BF78" s="15"/>
      <c r="BG78" s="15"/>
      <c r="BH78" s="15"/>
      <c r="BI78" s="15"/>
      <c r="BJ78" s="15"/>
      <c r="BK78" s="23"/>
      <c r="BL78" s="21"/>
    </row>
    <row r="79" spans="1:64" ht="19.5" customHeight="1" x14ac:dyDescent="0.25">
      <c r="A79" s="20"/>
      <c r="B79" s="20"/>
      <c r="C79" s="20"/>
      <c r="D79" s="20"/>
      <c r="E79" s="20"/>
      <c r="F79" s="20"/>
      <c r="G79" s="20"/>
      <c r="H79" s="20"/>
      <c r="I79" s="20"/>
      <c r="J79" s="20"/>
      <c r="K79" s="19"/>
      <c r="L79" s="24"/>
      <c r="M79" s="20"/>
      <c r="N79" s="20"/>
      <c r="O79" s="19"/>
      <c r="P79" s="23"/>
      <c r="Q79" s="23"/>
      <c r="R79" s="21"/>
      <c r="S79" s="23"/>
      <c r="T79" s="23"/>
      <c r="U79" s="23"/>
      <c r="V79" s="23"/>
      <c r="W79" s="23"/>
      <c r="X79" s="21"/>
      <c r="Y79" s="21"/>
      <c r="Z79" s="21"/>
      <c r="AA79" s="23"/>
      <c r="AB79" s="23"/>
      <c r="AC79" s="20"/>
      <c r="AD79" s="20"/>
      <c r="AE79" s="23"/>
      <c r="AF79" s="23"/>
      <c r="AG79" s="23"/>
      <c r="AH79" s="23"/>
      <c r="AI79" s="23"/>
      <c r="AJ79" s="23"/>
      <c r="AK79" s="23"/>
      <c r="AL79" s="15"/>
      <c r="AM79" s="23"/>
      <c r="AN79" s="23"/>
      <c r="AO79" s="23"/>
      <c r="AP79" s="20"/>
      <c r="AQ79" s="20"/>
      <c r="AR79" s="20"/>
      <c r="AS79" s="15"/>
      <c r="AT79" s="15"/>
      <c r="AU79" s="15"/>
      <c r="AV79" s="15"/>
      <c r="AW79" s="15"/>
      <c r="AX79" s="15"/>
      <c r="AY79" s="15"/>
      <c r="AZ79" s="15"/>
      <c r="BA79" s="15"/>
      <c r="BB79" s="15"/>
      <c r="BC79" s="15"/>
      <c r="BD79" s="15"/>
      <c r="BE79" s="15"/>
      <c r="BF79" s="15"/>
      <c r="BG79" s="15"/>
      <c r="BH79" s="15"/>
      <c r="BI79" s="15"/>
      <c r="BJ79" s="15"/>
      <c r="BK79" s="23"/>
      <c r="BL79" s="21"/>
    </row>
    <row r="80" spans="1:64" ht="19.5" customHeight="1" x14ac:dyDescent="0.25">
      <c r="A80" s="20"/>
      <c r="B80" s="20"/>
      <c r="C80" s="20"/>
      <c r="D80" s="20"/>
      <c r="E80" s="20"/>
      <c r="F80" s="20"/>
      <c r="G80" s="20"/>
      <c r="H80" s="20"/>
      <c r="I80" s="20"/>
      <c r="J80" s="20"/>
      <c r="K80" s="19"/>
      <c r="L80" s="24"/>
      <c r="M80" s="20"/>
      <c r="N80" s="20"/>
      <c r="O80" s="19"/>
      <c r="P80" s="23"/>
      <c r="Q80" s="23"/>
      <c r="R80" s="21"/>
      <c r="S80" s="23"/>
      <c r="T80" s="23"/>
      <c r="U80" s="23"/>
      <c r="V80" s="23"/>
      <c r="W80" s="23"/>
      <c r="X80" s="21"/>
      <c r="Y80" s="21"/>
      <c r="Z80" s="21"/>
      <c r="AA80" s="23"/>
      <c r="AB80" s="23"/>
      <c r="AC80" s="20"/>
      <c r="AD80" s="20"/>
      <c r="AE80" s="23"/>
      <c r="AF80" s="23"/>
      <c r="AG80" s="23"/>
      <c r="AH80" s="23"/>
      <c r="AI80" s="23"/>
      <c r="AJ80" s="23"/>
      <c r="AK80" s="23"/>
      <c r="AL80" s="15"/>
      <c r="AM80" s="23"/>
      <c r="AN80" s="23"/>
      <c r="AO80" s="23"/>
      <c r="AP80" s="20"/>
      <c r="AQ80" s="20"/>
      <c r="AR80" s="20"/>
      <c r="AS80" s="15"/>
      <c r="AT80" s="15"/>
      <c r="AU80" s="15"/>
      <c r="AV80" s="15"/>
      <c r="AW80" s="15"/>
      <c r="AX80" s="15"/>
      <c r="AY80" s="15"/>
      <c r="AZ80" s="15"/>
      <c r="BA80" s="15"/>
      <c r="BB80" s="15"/>
      <c r="BC80" s="15"/>
      <c r="BD80" s="15"/>
      <c r="BE80" s="15"/>
      <c r="BF80" s="15"/>
      <c r="BG80" s="15"/>
      <c r="BH80" s="15"/>
      <c r="BI80" s="15"/>
      <c r="BJ80" s="15"/>
      <c r="BK80" s="23"/>
      <c r="BL80" s="21"/>
    </row>
    <row r="81" spans="1:64" ht="19.5" customHeight="1" x14ac:dyDescent="0.25">
      <c r="A81" s="20"/>
      <c r="B81" s="20"/>
      <c r="C81" s="20"/>
      <c r="D81" s="20"/>
      <c r="E81" s="20"/>
      <c r="F81" s="20"/>
      <c r="G81" s="20"/>
      <c r="H81" s="20"/>
      <c r="I81" s="20"/>
      <c r="J81" s="20"/>
      <c r="K81" s="19"/>
      <c r="L81" s="24"/>
      <c r="M81" s="20"/>
      <c r="N81" s="20"/>
      <c r="O81" s="19"/>
      <c r="P81" s="23"/>
      <c r="Q81" s="23"/>
      <c r="R81" s="21"/>
      <c r="S81" s="23"/>
      <c r="T81" s="23"/>
      <c r="U81" s="23"/>
      <c r="V81" s="23"/>
      <c r="W81" s="23"/>
      <c r="X81" s="21"/>
      <c r="Y81" s="21"/>
      <c r="Z81" s="21"/>
      <c r="AA81" s="23"/>
      <c r="AB81" s="23"/>
      <c r="AC81" s="20"/>
      <c r="AD81" s="20"/>
      <c r="AE81" s="23"/>
      <c r="AF81" s="23"/>
      <c r="AG81" s="23"/>
      <c r="AH81" s="23"/>
      <c r="AI81" s="23"/>
      <c r="AJ81" s="23"/>
      <c r="AK81" s="23"/>
      <c r="AL81" s="15"/>
      <c r="AM81" s="23"/>
      <c r="AN81" s="23"/>
      <c r="AO81" s="23"/>
      <c r="AP81" s="20"/>
      <c r="AQ81" s="20"/>
      <c r="AR81" s="20"/>
      <c r="AS81" s="15"/>
      <c r="AT81" s="15"/>
      <c r="AU81" s="15"/>
      <c r="AV81" s="15"/>
      <c r="AW81" s="15"/>
      <c r="AX81" s="15"/>
      <c r="AY81" s="15"/>
      <c r="AZ81" s="15"/>
      <c r="BA81" s="15"/>
      <c r="BB81" s="15"/>
      <c r="BC81" s="15"/>
      <c r="BD81" s="15"/>
      <c r="BE81" s="15"/>
      <c r="BF81" s="15"/>
      <c r="BG81" s="15"/>
      <c r="BH81" s="15"/>
      <c r="BI81" s="15"/>
      <c r="BJ81" s="15"/>
      <c r="BK81" s="23"/>
      <c r="BL81" s="21"/>
    </row>
    <row r="82" spans="1:64" ht="19.5" customHeight="1" x14ac:dyDescent="0.25">
      <c r="A82" s="20"/>
      <c r="B82" s="20"/>
      <c r="C82" s="20"/>
      <c r="D82" s="20"/>
      <c r="E82" s="20"/>
      <c r="F82" s="20"/>
      <c r="G82" s="20"/>
      <c r="H82" s="20"/>
      <c r="I82" s="20"/>
      <c r="J82" s="20"/>
      <c r="K82" s="19"/>
      <c r="L82" s="24"/>
      <c r="M82" s="20"/>
      <c r="N82" s="20"/>
      <c r="O82" s="19"/>
      <c r="P82" s="23"/>
      <c r="Q82" s="23"/>
      <c r="R82" s="21"/>
      <c r="S82" s="23"/>
      <c r="T82" s="23"/>
      <c r="U82" s="23"/>
      <c r="V82" s="23"/>
      <c r="W82" s="23"/>
      <c r="X82" s="21"/>
      <c r="Y82" s="21"/>
      <c r="Z82" s="21"/>
      <c r="AA82" s="23"/>
      <c r="AB82" s="23"/>
      <c r="AC82" s="20"/>
      <c r="AD82" s="20"/>
      <c r="AE82" s="23"/>
      <c r="AF82" s="23"/>
      <c r="AG82" s="23"/>
      <c r="AH82" s="23"/>
      <c r="AI82" s="23"/>
      <c r="AJ82" s="23"/>
      <c r="AK82" s="23"/>
      <c r="AL82" s="15"/>
      <c r="AM82" s="23"/>
      <c r="AN82" s="23"/>
      <c r="AO82" s="23"/>
      <c r="AP82" s="20"/>
      <c r="AQ82" s="20"/>
      <c r="AR82" s="20"/>
      <c r="AS82" s="15"/>
      <c r="AT82" s="15"/>
      <c r="AU82" s="15"/>
      <c r="AV82" s="15"/>
      <c r="AW82" s="15"/>
      <c r="AX82" s="15"/>
      <c r="AY82" s="15"/>
      <c r="AZ82" s="15"/>
      <c r="BA82" s="15"/>
      <c r="BB82" s="15"/>
      <c r="BC82" s="15"/>
      <c r="BD82" s="15"/>
      <c r="BE82" s="15"/>
      <c r="BF82" s="15"/>
      <c r="BG82" s="15"/>
      <c r="BH82" s="15"/>
      <c r="BI82" s="15"/>
      <c r="BJ82" s="15"/>
      <c r="BK82" s="23"/>
      <c r="BL82" s="21"/>
    </row>
    <row r="83" spans="1:64" ht="19.5" customHeight="1" x14ac:dyDescent="0.25">
      <c r="A83" s="20"/>
      <c r="B83" s="20"/>
      <c r="C83" s="20"/>
      <c r="D83" s="20"/>
      <c r="E83" s="20"/>
      <c r="F83" s="20"/>
      <c r="G83" s="20"/>
      <c r="H83" s="20"/>
      <c r="I83" s="20"/>
      <c r="J83" s="20"/>
      <c r="K83" s="19"/>
      <c r="L83" s="24"/>
      <c r="M83" s="20"/>
      <c r="N83" s="20"/>
      <c r="O83" s="19"/>
      <c r="P83" s="23"/>
      <c r="Q83" s="23"/>
      <c r="R83" s="21"/>
      <c r="S83" s="23"/>
      <c r="T83" s="23"/>
      <c r="U83" s="23"/>
      <c r="V83" s="23"/>
      <c r="W83" s="23"/>
      <c r="X83" s="21"/>
      <c r="Y83" s="21"/>
      <c r="Z83" s="21"/>
      <c r="AA83" s="23"/>
      <c r="AB83" s="23"/>
      <c r="AC83" s="20"/>
      <c r="AD83" s="20"/>
      <c r="AE83" s="23"/>
      <c r="AF83" s="23"/>
      <c r="AG83" s="23"/>
      <c r="AH83" s="23"/>
      <c r="AI83" s="23"/>
      <c r="AJ83" s="23"/>
      <c r="AK83" s="23"/>
      <c r="AL83" s="15"/>
      <c r="AM83" s="23"/>
      <c r="AN83" s="23"/>
      <c r="AO83" s="23"/>
      <c r="AP83" s="20"/>
      <c r="AQ83" s="20"/>
      <c r="AR83" s="20"/>
      <c r="AS83" s="15"/>
      <c r="AT83" s="15"/>
      <c r="AU83" s="15"/>
      <c r="AV83" s="15"/>
      <c r="AW83" s="15"/>
      <c r="AX83" s="15"/>
      <c r="AY83" s="15"/>
      <c r="AZ83" s="15"/>
      <c r="BA83" s="15"/>
      <c r="BB83" s="15"/>
      <c r="BC83" s="15"/>
      <c r="BD83" s="15"/>
      <c r="BE83" s="15"/>
      <c r="BF83" s="15"/>
      <c r="BG83" s="15"/>
      <c r="BH83" s="15"/>
      <c r="BI83" s="15"/>
      <c r="BJ83" s="15"/>
      <c r="BK83" s="23"/>
      <c r="BL83" s="21"/>
    </row>
    <row r="84" spans="1:64" ht="19.5" customHeight="1" x14ac:dyDescent="0.25">
      <c r="A84" s="20"/>
      <c r="B84" s="20"/>
      <c r="C84" s="20"/>
      <c r="D84" s="20"/>
      <c r="E84" s="20"/>
      <c r="F84" s="20"/>
      <c r="G84" s="20"/>
      <c r="H84" s="20"/>
      <c r="I84" s="20"/>
      <c r="J84" s="20"/>
      <c r="K84" s="19"/>
      <c r="L84" s="24"/>
      <c r="M84" s="20"/>
      <c r="N84" s="20"/>
      <c r="O84" s="19"/>
      <c r="P84" s="23"/>
      <c r="Q84" s="23"/>
      <c r="R84" s="21"/>
      <c r="S84" s="23"/>
      <c r="T84" s="23"/>
      <c r="U84" s="23"/>
      <c r="V84" s="23"/>
      <c r="W84" s="23"/>
      <c r="X84" s="21"/>
      <c r="Y84" s="21"/>
      <c r="Z84" s="21"/>
      <c r="AA84" s="23"/>
      <c r="AB84" s="23"/>
      <c r="AC84" s="20"/>
      <c r="AD84" s="20"/>
      <c r="AE84" s="23"/>
      <c r="AF84" s="23"/>
      <c r="AG84" s="23"/>
      <c r="AH84" s="23"/>
      <c r="AI84" s="23"/>
      <c r="AJ84" s="23"/>
      <c r="AK84" s="23"/>
      <c r="AL84" s="15"/>
      <c r="AM84" s="23"/>
      <c r="AN84" s="23"/>
      <c r="AO84" s="23"/>
      <c r="AP84" s="20"/>
      <c r="AQ84" s="20"/>
      <c r="AR84" s="20"/>
      <c r="AS84" s="15"/>
      <c r="AT84" s="15"/>
      <c r="AU84" s="15"/>
      <c r="AV84" s="15"/>
      <c r="AW84" s="15"/>
      <c r="AX84" s="15"/>
      <c r="AY84" s="15"/>
      <c r="AZ84" s="15"/>
      <c r="BA84" s="15"/>
      <c r="BB84" s="15"/>
      <c r="BC84" s="15"/>
      <c r="BD84" s="15"/>
      <c r="BE84" s="15"/>
      <c r="BF84" s="15"/>
      <c r="BG84" s="15"/>
      <c r="BH84" s="15"/>
      <c r="BI84" s="15"/>
      <c r="BJ84" s="15"/>
      <c r="BK84" s="23"/>
      <c r="BL84" s="21"/>
    </row>
    <row r="85" spans="1:64" ht="19.5" customHeight="1" x14ac:dyDescent="0.25">
      <c r="A85" s="20"/>
      <c r="B85" s="20"/>
      <c r="C85" s="20"/>
      <c r="D85" s="20"/>
      <c r="E85" s="20"/>
      <c r="F85" s="20"/>
      <c r="G85" s="20"/>
      <c r="H85" s="20"/>
      <c r="I85" s="20"/>
      <c r="J85" s="20"/>
      <c r="K85" s="19"/>
      <c r="L85" s="24"/>
      <c r="M85" s="20"/>
      <c r="N85" s="20"/>
      <c r="O85" s="19"/>
      <c r="P85" s="23"/>
      <c r="Q85" s="23"/>
      <c r="R85" s="21"/>
      <c r="S85" s="23"/>
      <c r="T85" s="23"/>
      <c r="U85" s="23"/>
      <c r="V85" s="23"/>
      <c r="W85" s="23"/>
      <c r="X85" s="21"/>
      <c r="Y85" s="21"/>
      <c r="Z85" s="21"/>
      <c r="AA85" s="23"/>
      <c r="AB85" s="23"/>
      <c r="AC85" s="20"/>
      <c r="AD85" s="20"/>
      <c r="AE85" s="23"/>
      <c r="AF85" s="23"/>
      <c r="AG85" s="23"/>
      <c r="AH85" s="23"/>
      <c r="AI85" s="23"/>
      <c r="AJ85" s="23"/>
      <c r="AK85" s="23"/>
      <c r="AL85" s="15"/>
      <c r="AM85" s="23"/>
      <c r="AN85" s="23"/>
      <c r="AO85" s="23"/>
      <c r="AP85" s="20"/>
      <c r="AQ85" s="20"/>
      <c r="AR85" s="20"/>
      <c r="AS85" s="15"/>
      <c r="AT85" s="15"/>
      <c r="AU85" s="15"/>
      <c r="AV85" s="15"/>
      <c r="AW85" s="15"/>
      <c r="AX85" s="15"/>
      <c r="AY85" s="15"/>
      <c r="AZ85" s="15"/>
      <c r="BA85" s="15"/>
      <c r="BB85" s="15"/>
      <c r="BC85" s="15"/>
      <c r="BD85" s="15"/>
      <c r="BE85" s="15"/>
      <c r="BF85" s="15"/>
      <c r="BG85" s="15"/>
      <c r="BH85" s="15"/>
      <c r="BI85" s="15"/>
      <c r="BJ85" s="15"/>
      <c r="BK85" s="23"/>
      <c r="BL85" s="21"/>
    </row>
    <row r="86" spans="1:64" ht="19.5" customHeight="1" x14ac:dyDescent="0.25">
      <c r="A86" s="20"/>
      <c r="B86" s="20"/>
      <c r="C86" s="20"/>
      <c r="D86" s="20"/>
      <c r="E86" s="20"/>
      <c r="F86" s="20"/>
      <c r="G86" s="20"/>
      <c r="H86" s="20"/>
      <c r="I86" s="20"/>
      <c r="J86" s="20"/>
      <c r="K86" s="19"/>
      <c r="L86" s="24"/>
      <c r="M86" s="20"/>
      <c r="N86" s="20"/>
      <c r="O86" s="19"/>
      <c r="P86" s="23"/>
      <c r="Q86" s="23"/>
      <c r="R86" s="21"/>
      <c r="S86" s="23"/>
      <c r="T86" s="23"/>
      <c r="U86" s="23"/>
      <c r="V86" s="23"/>
      <c r="W86" s="23"/>
      <c r="X86" s="21"/>
      <c r="Y86" s="21"/>
      <c r="Z86" s="21"/>
      <c r="AA86" s="23"/>
      <c r="AB86" s="23"/>
      <c r="AC86" s="20"/>
      <c r="AD86" s="20"/>
      <c r="AE86" s="23"/>
      <c r="AF86" s="23"/>
      <c r="AG86" s="23"/>
      <c r="AH86" s="23"/>
      <c r="AI86" s="23"/>
      <c r="AJ86" s="23"/>
      <c r="AK86" s="23"/>
      <c r="AL86" s="15"/>
      <c r="AM86" s="23"/>
      <c r="AN86" s="23"/>
      <c r="AO86" s="23"/>
      <c r="AP86" s="20"/>
      <c r="AQ86" s="20"/>
      <c r="AR86" s="20"/>
      <c r="AS86" s="15"/>
      <c r="AT86" s="15"/>
      <c r="AU86" s="15"/>
      <c r="AV86" s="15"/>
      <c r="AW86" s="15"/>
      <c r="AX86" s="15"/>
      <c r="AY86" s="15"/>
      <c r="AZ86" s="15"/>
      <c r="BA86" s="15"/>
      <c r="BB86" s="15"/>
      <c r="BC86" s="15"/>
      <c r="BD86" s="15"/>
      <c r="BE86" s="15"/>
      <c r="BF86" s="15"/>
      <c r="BG86" s="15"/>
      <c r="BH86" s="15"/>
      <c r="BI86" s="15"/>
      <c r="BJ86" s="15"/>
      <c r="BK86" s="23"/>
      <c r="BL86" s="21"/>
    </row>
    <row r="87" spans="1:64" ht="19.5" customHeight="1" x14ac:dyDescent="0.25">
      <c r="A87" s="20"/>
      <c r="B87" s="20"/>
      <c r="C87" s="20"/>
      <c r="D87" s="20"/>
      <c r="E87" s="20"/>
      <c r="F87" s="20"/>
      <c r="G87" s="20"/>
      <c r="H87" s="20"/>
      <c r="I87" s="20"/>
      <c r="J87" s="20"/>
      <c r="K87" s="19"/>
      <c r="L87" s="24"/>
      <c r="M87" s="20"/>
      <c r="N87" s="20"/>
      <c r="O87" s="19"/>
      <c r="P87" s="23"/>
      <c r="Q87" s="23"/>
      <c r="R87" s="21"/>
      <c r="S87" s="23"/>
      <c r="T87" s="23"/>
      <c r="U87" s="23"/>
      <c r="V87" s="23"/>
      <c r="W87" s="23"/>
      <c r="X87" s="21"/>
      <c r="Y87" s="21"/>
      <c r="Z87" s="21"/>
      <c r="AA87" s="23"/>
      <c r="AB87" s="23"/>
      <c r="AC87" s="20"/>
      <c r="AD87" s="20"/>
      <c r="AE87" s="23"/>
      <c r="AF87" s="23"/>
      <c r="AG87" s="23"/>
      <c r="AH87" s="23"/>
      <c r="AI87" s="23"/>
      <c r="AJ87" s="23"/>
      <c r="AK87" s="23"/>
      <c r="AL87" s="15"/>
      <c r="AM87" s="23"/>
      <c r="AN87" s="23"/>
      <c r="AO87" s="23"/>
      <c r="AP87" s="20"/>
      <c r="AQ87" s="20"/>
      <c r="AR87" s="20"/>
      <c r="AS87" s="15"/>
      <c r="AT87" s="15"/>
      <c r="AU87" s="15"/>
      <c r="AV87" s="15"/>
      <c r="AW87" s="15"/>
      <c r="AX87" s="15"/>
      <c r="AY87" s="15"/>
      <c r="AZ87" s="15"/>
      <c r="BA87" s="15"/>
      <c r="BB87" s="15"/>
      <c r="BC87" s="15"/>
      <c r="BD87" s="15"/>
      <c r="BE87" s="15"/>
      <c r="BF87" s="15"/>
      <c r="BG87" s="15"/>
      <c r="BH87" s="15"/>
      <c r="BI87" s="15"/>
      <c r="BJ87" s="15"/>
      <c r="BK87" s="23"/>
      <c r="BL87" s="21"/>
    </row>
    <row r="88" spans="1:64" ht="19.5" customHeight="1" x14ac:dyDescent="0.25">
      <c r="A88" s="20"/>
      <c r="B88" s="20"/>
      <c r="C88" s="20"/>
      <c r="D88" s="20"/>
      <c r="E88" s="20"/>
      <c r="F88" s="20"/>
      <c r="G88" s="20"/>
      <c r="H88" s="20"/>
      <c r="I88" s="20"/>
      <c r="J88" s="20"/>
      <c r="K88" s="19"/>
      <c r="L88" s="24"/>
      <c r="M88" s="20"/>
      <c r="N88" s="20"/>
      <c r="O88" s="19"/>
      <c r="P88" s="23"/>
      <c r="Q88" s="23"/>
      <c r="R88" s="21"/>
      <c r="S88" s="23"/>
      <c r="T88" s="23"/>
      <c r="U88" s="23"/>
      <c r="V88" s="23"/>
      <c r="W88" s="23"/>
      <c r="X88" s="21"/>
      <c r="Y88" s="21"/>
      <c r="Z88" s="21"/>
      <c r="AA88" s="23"/>
      <c r="AB88" s="23"/>
      <c r="AC88" s="20"/>
      <c r="AD88" s="20"/>
      <c r="AE88" s="23"/>
      <c r="AF88" s="23"/>
      <c r="AG88" s="23"/>
      <c r="AH88" s="23"/>
      <c r="AI88" s="23"/>
      <c r="AJ88" s="23"/>
      <c r="AK88" s="23"/>
      <c r="AL88" s="15"/>
      <c r="AM88" s="23"/>
      <c r="AN88" s="23"/>
      <c r="AO88" s="23"/>
      <c r="AP88" s="20"/>
      <c r="AQ88" s="20"/>
      <c r="AR88" s="20"/>
      <c r="AS88" s="15"/>
      <c r="AT88" s="15"/>
      <c r="AU88" s="15"/>
      <c r="AV88" s="15"/>
      <c r="AW88" s="15"/>
      <c r="AX88" s="15"/>
      <c r="AY88" s="15"/>
      <c r="AZ88" s="15"/>
      <c r="BA88" s="15"/>
      <c r="BB88" s="15"/>
      <c r="BC88" s="15"/>
      <c r="BD88" s="15"/>
      <c r="BE88" s="15"/>
      <c r="BF88" s="15"/>
      <c r="BG88" s="15"/>
      <c r="BH88" s="15"/>
      <c r="BI88" s="15"/>
      <c r="BJ88" s="15"/>
      <c r="BK88" s="23"/>
      <c r="BL88" s="21"/>
    </row>
    <row r="89" spans="1:64" ht="19.5" customHeight="1" x14ac:dyDescent="0.25">
      <c r="A89" s="20"/>
      <c r="B89" s="20"/>
      <c r="C89" s="20"/>
      <c r="D89" s="20"/>
      <c r="E89" s="20"/>
      <c r="F89" s="20"/>
      <c r="G89" s="20"/>
      <c r="H89" s="20"/>
      <c r="I89" s="20"/>
      <c r="J89" s="20"/>
      <c r="K89" s="19"/>
      <c r="L89" s="24"/>
      <c r="M89" s="20"/>
      <c r="N89" s="20"/>
      <c r="O89" s="19"/>
      <c r="P89" s="23"/>
      <c r="Q89" s="23"/>
      <c r="R89" s="21"/>
      <c r="S89" s="23"/>
      <c r="T89" s="23"/>
      <c r="U89" s="23"/>
      <c r="V89" s="23"/>
      <c r="W89" s="23"/>
      <c r="X89" s="21"/>
      <c r="Y89" s="21"/>
      <c r="Z89" s="21"/>
      <c r="AA89" s="23"/>
      <c r="AB89" s="23"/>
      <c r="AC89" s="20"/>
      <c r="AD89" s="20"/>
      <c r="AE89" s="23"/>
      <c r="AF89" s="23"/>
      <c r="AG89" s="23"/>
      <c r="AH89" s="23"/>
      <c r="AI89" s="23"/>
      <c r="AJ89" s="23"/>
      <c r="AK89" s="23"/>
      <c r="AL89" s="15"/>
      <c r="AM89" s="23"/>
      <c r="AN89" s="23"/>
      <c r="AO89" s="23"/>
      <c r="AP89" s="20"/>
      <c r="AQ89" s="20"/>
      <c r="AR89" s="20"/>
      <c r="AS89" s="15"/>
      <c r="AT89" s="15"/>
      <c r="AU89" s="15"/>
      <c r="AV89" s="15"/>
      <c r="AW89" s="15"/>
      <c r="AX89" s="15"/>
      <c r="AY89" s="15"/>
      <c r="AZ89" s="15"/>
      <c r="BA89" s="15"/>
      <c r="BB89" s="15"/>
      <c r="BC89" s="15"/>
      <c r="BD89" s="15"/>
      <c r="BE89" s="15"/>
      <c r="BF89" s="15"/>
      <c r="BG89" s="15"/>
      <c r="BH89" s="15"/>
      <c r="BI89" s="15"/>
      <c r="BJ89" s="15"/>
      <c r="BK89" s="23"/>
      <c r="BL89" s="21"/>
    </row>
    <row r="90" spans="1:64" ht="19.5" customHeight="1" x14ac:dyDescent="0.25">
      <c r="A90" s="20"/>
      <c r="B90" s="20"/>
      <c r="C90" s="20"/>
      <c r="D90" s="20"/>
      <c r="E90" s="20"/>
      <c r="F90" s="20"/>
      <c r="G90" s="20"/>
      <c r="H90" s="20"/>
      <c r="I90" s="20"/>
      <c r="J90" s="20"/>
      <c r="K90" s="19"/>
      <c r="L90" s="24"/>
      <c r="M90" s="20"/>
      <c r="N90" s="20"/>
      <c r="O90" s="19"/>
      <c r="P90" s="23"/>
      <c r="Q90" s="23"/>
      <c r="R90" s="21"/>
      <c r="S90" s="23"/>
      <c r="T90" s="23"/>
      <c r="U90" s="23"/>
      <c r="V90" s="23"/>
      <c r="W90" s="23"/>
      <c r="X90" s="21"/>
      <c r="Y90" s="21"/>
      <c r="Z90" s="21"/>
      <c r="AA90" s="23"/>
      <c r="AB90" s="23"/>
      <c r="AC90" s="20"/>
      <c r="AD90" s="20"/>
      <c r="AE90" s="23"/>
      <c r="AF90" s="23"/>
      <c r="AG90" s="23"/>
      <c r="AH90" s="23"/>
      <c r="AI90" s="23"/>
      <c r="AJ90" s="23"/>
      <c r="AK90" s="23"/>
      <c r="AL90" s="15"/>
      <c r="AM90" s="23"/>
      <c r="AN90" s="23"/>
      <c r="AO90" s="23"/>
      <c r="AP90" s="20"/>
      <c r="AQ90" s="20"/>
      <c r="AR90" s="20"/>
      <c r="AS90" s="15"/>
      <c r="AT90" s="15"/>
      <c r="AU90" s="15"/>
      <c r="AV90" s="15"/>
      <c r="AW90" s="15"/>
      <c r="AX90" s="15"/>
      <c r="AY90" s="15"/>
      <c r="AZ90" s="15"/>
      <c r="BA90" s="15"/>
      <c r="BB90" s="15"/>
      <c r="BC90" s="15"/>
      <c r="BD90" s="15"/>
      <c r="BE90" s="15"/>
      <c r="BF90" s="15"/>
      <c r="BG90" s="15"/>
      <c r="BH90" s="15"/>
      <c r="BI90" s="15"/>
      <c r="BJ90" s="15"/>
      <c r="BK90" s="23"/>
      <c r="BL90" s="21"/>
    </row>
    <row r="91" spans="1:64" ht="19.5" customHeight="1" x14ac:dyDescent="0.25">
      <c r="A91" s="20"/>
      <c r="B91" s="20"/>
      <c r="C91" s="20"/>
      <c r="D91" s="20"/>
      <c r="E91" s="20"/>
      <c r="F91" s="20"/>
      <c r="G91" s="20"/>
      <c r="H91" s="20"/>
      <c r="I91" s="20"/>
      <c r="J91" s="20"/>
      <c r="K91" s="19"/>
      <c r="L91" s="24"/>
      <c r="M91" s="20"/>
      <c r="N91" s="20"/>
      <c r="O91" s="19"/>
      <c r="P91" s="23"/>
      <c r="Q91" s="23"/>
      <c r="R91" s="21"/>
      <c r="S91" s="23"/>
      <c r="T91" s="23"/>
      <c r="U91" s="23"/>
      <c r="V91" s="23"/>
      <c r="W91" s="23"/>
      <c r="X91" s="21"/>
      <c r="Y91" s="21"/>
      <c r="Z91" s="21"/>
      <c r="AA91" s="23"/>
      <c r="AB91" s="23"/>
      <c r="AC91" s="20"/>
      <c r="AD91" s="20"/>
      <c r="AE91" s="23"/>
      <c r="AF91" s="23"/>
      <c r="AG91" s="23"/>
      <c r="AH91" s="23"/>
      <c r="AI91" s="23"/>
      <c r="AJ91" s="23"/>
      <c r="AK91" s="23"/>
      <c r="AL91" s="15"/>
      <c r="AM91" s="23"/>
      <c r="AN91" s="23"/>
      <c r="AO91" s="23"/>
      <c r="AP91" s="20"/>
      <c r="AQ91" s="20"/>
      <c r="AR91" s="20"/>
      <c r="AS91" s="15"/>
      <c r="AT91" s="15"/>
      <c r="AU91" s="15"/>
      <c r="AV91" s="15"/>
      <c r="AW91" s="15"/>
      <c r="AX91" s="15"/>
      <c r="AY91" s="15"/>
      <c r="AZ91" s="15"/>
      <c r="BA91" s="15"/>
      <c r="BB91" s="15"/>
      <c r="BC91" s="15"/>
      <c r="BD91" s="15"/>
      <c r="BE91" s="15"/>
      <c r="BF91" s="15"/>
      <c r="BG91" s="15"/>
      <c r="BH91" s="15"/>
      <c r="BI91" s="15"/>
      <c r="BJ91" s="15"/>
      <c r="BK91" s="23"/>
      <c r="BL91" s="21"/>
    </row>
    <row r="92" spans="1:64" ht="19.5" customHeight="1" x14ac:dyDescent="0.25">
      <c r="A92" s="20"/>
      <c r="B92" s="20"/>
      <c r="C92" s="20"/>
      <c r="D92" s="20"/>
      <c r="E92" s="20"/>
      <c r="F92" s="20"/>
      <c r="G92" s="20"/>
      <c r="H92" s="20"/>
      <c r="I92" s="20"/>
      <c r="J92" s="20"/>
      <c r="K92" s="19"/>
      <c r="L92" s="24"/>
      <c r="M92" s="20"/>
      <c r="N92" s="20"/>
      <c r="O92" s="19"/>
      <c r="P92" s="23"/>
      <c r="Q92" s="23"/>
      <c r="R92" s="21"/>
      <c r="S92" s="23"/>
      <c r="T92" s="23"/>
      <c r="U92" s="23"/>
      <c r="V92" s="23"/>
      <c r="W92" s="23"/>
      <c r="X92" s="21"/>
      <c r="Y92" s="21"/>
      <c r="Z92" s="21"/>
      <c r="AA92" s="23"/>
      <c r="AB92" s="23"/>
      <c r="AC92" s="20"/>
      <c r="AD92" s="20"/>
      <c r="AE92" s="23"/>
      <c r="AF92" s="23"/>
      <c r="AG92" s="23"/>
      <c r="AH92" s="23"/>
      <c r="AI92" s="23"/>
      <c r="AJ92" s="23"/>
      <c r="AK92" s="23"/>
      <c r="AL92" s="15"/>
      <c r="AM92" s="23"/>
      <c r="AN92" s="23"/>
      <c r="AO92" s="23"/>
      <c r="AP92" s="20"/>
      <c r="AQ92" s="20"/>
      <c r="AR92" s="20"/>
      <c r="AS92" s="15"/>
      <c r="AT92" s="15"/>
      <c r="AU92" s="15"/>
      <c r="AV92" s="15"/>
      <c r="AW92" s="15"/>
      <c r="AX92" s="15"/>
      <c r="AY92" s="15"/>
      <c r="AZ92" s="15"/>
      <c r="BA92" s="15"/>
      <c r="BB92" s="15"/>
      <c r="BC92" s="15"/>
      <c r="BD92" s="15"/>
      <c r="BE92" s="15"/>
      <c r="BF92" s="15"/>
      <c r="BG92" s="15"/>
      <c r="BH92" s="15"/>
      <c r="BI92" s="15"/>
      <c r="BJ92" s="15"/>
      <c r="BK92" s="23"/>
      <c r="BL92" s="21"/>
    </row>
    <row r="93" spans="1:64" ht="19.5" customHeight="1" x14ac:dyDescent="0.25">
      <c r="A93" s="20"/>
      <c r="B93" s="20"/>
      <c r="C93" s="20"/>
      <c r="D93" s="20"/>
      <c r="E93" s="20"/>
      <c r="F93" s="20"/>
      <c r="G93" s="20"/>
      <c r="H93" s="20"/>
      <c r="I93" s="20"/>
      <c r="J93" s="20"/>
      <c r="K93" s="19"/>
      <c r="L93" s="24"/>
      <c r="M93" s="20"/>
      <c r="N93" s="20"/>
      <c r="O93" s="19"/>
      <c r="P93" s="23"/>
      <c r="Q93" s="23"/>
      <c r="R93" s="21"/>
      <c r="S93" s="23"/>
      <c r="T93" s="23"/>
      <c r="U93" s="23"/>
      <c r="V93" s="23"/>
      <c r="W93" s="23"/>
      <c r="X93" s="21"/>
      <c r="Y93" s="21"/>
      <c r="Z93" s="21"/>
      <c r="AA93" s="23"/>
      <c r="AB93" s="23"/>
      <c r="AC93" s="20"/>
      <c r="AD93" s="20"/>
      <c r="AE93" s="23"/>
      <c r="AF93" s="23"/>
      <c r="AG93" s="23"/>
      <c r="AH93" s="23"/>
      <c r="AI93" s="23"/>
      <c r="AJ93" s="23"/>
      <c r="AK93" s="23"/>
      <c r="AL93" s="15"/>
      <c r="AM93" s="23"/>
      <c r="AN93" s="23"/>
      <c r="AO93" s="23"/>
      <c r="AP93" s="20"/>
      <c r="AQ93" s="20"/>
      <c r="AR93" s="20"/>
      <c r="AS93" s="15"/>
      <c r="AT93" s="15"/>
      <c r="AU93" s="15"/>
      <c r="AV93" s="15"/>
      <c r="AW93" s="15"/>
      <c r="AX93" s="15"/>
      <c r="AY93" s="15"/>
      <c r="AZ93" s="15"/>
      <c r="BA93" s="15"/>
      <c r="BB93" s="15"/>
      <c r="BC93" s="15"/>
      <c r="BD93" s="15"/>
      <c r="BE93" s="15"/>
      <c r="BF93" s="15"/>
      <c r="BG93" s="15"/>
      <c r="BH93" s="15"/>
      <c r="BI93" s="15"/>
      <c r="BJ93" s="15"/>
      <c r="BK93" s="23"/>
      <c r="BL93" s="21"/>
    </row>
    <row r="94" spans="1:64" ht="19.5" customHeight="1" x14ac:dyDescent="0.25">
      <c r="A94" s="20"/>
      <c r="B94" s="20"/>
      <c r="C94" s="20"/>
      <c r="D94" s="20"/>
      <c r="E94" s="20"/>
      <c r="F94" s="20"/>
      <c r="G94" s="20"/>
      <c r="H94" s="20"/>
      <c r="I94" s="20"/>
      <c r="J94" s="20"/>
      <c r="K94" s="19"/>
      <c r="L94" s="24"/>
      <c r="M94" s="20"/>
      <c r="N94" s="20"/>
      <c r="O94" s="19"/>
      <c r="P94" s="23"/>
      <c r="Q94" s="23"/>
      <c r="R94" s="21"/>
      <c r="S94" s="23"/>
      <c r="T94" s="23"/>
      <c r="U94" s="23"/>
      <c r="V94" s="23"/>
      <c r="W94" s="23"/>
      <c r="X94" s="21"/>
      <c r="Y94" s="21"/>
      <c r="Z94" s="21"/>
      <c r="AA94" s="23"/>
      <c r="AB94" s="23"/>
      <c r="AC94" s="20"/>
      <c r="AD94" s="20"/>
      <c r="AE94" s="23"/>
      <c r="AF94" s="23"/>
      <c r="AG94" s="23"/>
      <c r="AH94" s="23"/>
      <c r="AI94" s="23"/>
      <c r="AJ94" s="23"/>
      <c r="AK94" s="23"/>
      <c r="AL94" s="15"/>
      <c r="AM94" s="23"/>
      <c r="AN94" s="23"/>
      <c r="AO94" s="23"/>
      <c r="AP94" s="20"/>
      <c r="AQ94" s="20"/>
      <c r="AR94" s="20"/>
      <c r="AS94" s="15"/>
      <c r="AT94" s="15"/>
      <c r="AU94" s="15"/>
      <c r="AV94" s="15"/>
      <c r="AW94" s="15"/>
      <c r="AX94" s="15"/>
      <c r="AY94" s="15"/>
      <c r="AZ94" s="15"/>
      <c r="BA94" s="15"/>
      <c r="BB94" s="15"/>
      <c r="BC94" s="15"/>
      <c r="BD94" s="15"/>
      <c r="BE94" s="15"/>
      <c r="BF94" s="15"/>
      <c r="BG94" s="15"/>
      <c r="BH94" s="15"/>
      <c r="BI94" s="15"/>
      <c r="BJ94" s="15"/>
      <c r="BK94" s="23"/>
      <c r="BL94" s="21"/>
    </row>
    <row r="95" spans="1:64" ht="19.5" customHeight="1" x14ac:dyDescent="0.25">
      <c r="A95" s="20"/>
      <c r="B95" s="20"/>
      <c r="C95" s="20"/>
      <c r="D95" s="20"/>
      <c r="E95" s="20"/>
      <c r="F95" s="20"/>
      <c r="G95" s="20"/>
      <c r="H95" s="20"/>
      <c r="I95" s="20"/>
      <c r="J95" s="20"/>
      <c r="K95" s="19"/>
      <c r="L95" s="24"/>
      <c r="M95" s="20"/>
      <c r="N95" s="20"/>
      <c r="O95" s="19"/>
      <c r="P95" s="23"/>
      <c r="Q95" s="23"/>
      <c r="R95" s="21"/>
      <c r="S95" s="23"/>
      <c r="T95" s="23"/>
      <c r="U95" s="23"/>
      <c r="V95" s="23"/>
      <c r="W95" s="23"/>
      <c r="X95" s="21"/>
      <c r="Y95" s="21"/>
      <c r="Z95" s="21"/>
      <c r="AA95" s="23"/>
      <c r="AB95" s="23"/>
      <c r="AC95" s="20"/>
      <c r="AD95" s="20"/>
      <c r="AE95" s="23"/>
      <c r="AF95" s="23"/>
      <c r="AG95" s="23"/>
      <c r="AH95" s="23"/>
      <c r="AI95" s="23"/>
      <c r="AJ95" s="23"/>
      <c r="AK95" s="23"/>
      <c r="AL95" s="15"/>
      <c r="AM95" s="23"/>
      <c r="AN95" s="23"/>
      <c r="AO95" s="23"/>
      <c r="AP95" s="20"/>
      <c r="AQ95" s="20"/>
      <c r="AR95" s="20"/>
      <c r="AS95" s="15"/>
      <c r="AT95" s="15"/>
      <c r="AU95" s="15"/>
      <c r="AV95" s="15"/>
      <c r="AW95" s="15"/>
      <c r="AX95" s="15"/>
      <c r="AY95" s="15"/>
      <c r="AZ95" s="15"/>
      <c r="BA95" s="15"/>
      <c r="BB95" s="15"/>
      <c r="BC95" s="15"/>
      <c r="BD95" s="15"/>
      <c r="BE95" s="15"/>
      <c r="BF95" s="15"/>
      <c r="BG95" s="15"/>
      <c r="BH95" s="15"/>
      <c r="BI95" s="15"/>
      <c r="BJ95" s="15"/>
      <c r="BK95" s="23"/>
      <c r="BL95" s="21"/>
    </row>
    <row r="96" spans="1:64" ht="19.5" customHeight="1" x14ac:dyDescent="0.25">
      <c r="A96" s="20"/>
      <c r="B96" s="20"/>
      <c r="C96" s="20"/>
      <c r="D96" s="20"/>
      <c r="E96" s="20"/>
      <c r="F96" s="20"/>
      <c r="G96" s="20"/>
      <c r="H96" s="20"/>
      <c r="I96" s="20"/>
      <c r="J96" s="20"/>
      <c r="K96" s="19"/>
      <c r="L96" s="24"/>
      <c r="M96" s="20"/>
      <c r="N96" s="20"/>
      <c r="O96" s="19"/>
      <c r="P96" s="23"/>
      <c r="Q96" s="23"/>
      <c r="R96" s="21"/>
      <c r="S96" s="23"/>
      <c r="T96" s="23"/>
      <c r="U96" s="23"/>
      <c r="V96" s="23"/>
      <c r="W96" s="23"/>
      <c r="X96" s="21"/>
      <c r="Y96" s="21"/>
      <c r="Z96" s="21"/>
      <c r="AA96" s="23"/>
      <c r="AB96" s="23"/>
      <c r="AC96" s="20"/>
      <c r="AD96" s="20"/>
      <c r="AE96" s="23"/>
      <c r="AF96" s="23"/>
      <c r="AG96" s="23"/>
      <c r="AH96" s="23"/>
      <c r="AI96" s="23"/>
      <c r="AJ96" s="23"/>
      <c r="AK96" s="23"/>
      <c r="AL96" s="15"/>
      <c r="AM96" s="23"/>
      <c r="AN96" s="23"/>
      <c r="AO96" s="23"/>
      <c r="AP96" s="20"/>
      <c r="AQ96" s="20"/>
      <c r="AR96" s="20"/>
      <c r="AS96" s="15"/>
      <c r="AT96" s="15"/>
      <c r="AU96" s="15"/>
      <c r="AV96" s="15"/>
      <c r="AW96" s="15"/>
      <c r="AX96" s="15"/>
      <c r="AY96" s="15"/>
      <c r="AZ96" s="15"/>
      <c r="BA96" s="15"/>
      <c r="BB96" s="15"/>
      <c r="BC96" s="15"/>
      <c r="BD96" s="15"/>
      <c r="BE96" s="15"/>
      <c r="BF96" s="15"/>
      <c r="BG96" s="15"/>
      <c r="BH96" s="15"/>
      <c r="BI96" s="15"/>
      <c r="BJ96" s="15"/>
      <c r="BK96" s="23"/>
      <c r="BL96" s="21"/>
    </row>
    <row r="97" spans="1:64" ht="19.5" customHeight="1" x14ac:dyDescent="0.25">
      <c r="A97" s="20"/>
      <c r="B97" s="20"/>
      <c r="C97" s="20"/>
      <c r="D97" s="20"/>
      <c r="E97" s="20"/>
      <c r="F97" s="20"/>
      <c r="G97" s="20"/>
      <c r="H97" s="20"/>
      <c r="I97" s="20"/>
      <c r="J97" s="20"/>
      <c r="K97" s="19"/>
      <c r="L97" s="24"/>
      <c r="M97" s="20"/>
      <c r="N97" s="20"/>
      <c r="O97" s="19"/>
      <c r="P97" s="23"/>
      <c r="Q97" s="23"/>
      <c r="R97" s="21"/>
      <c r="S97" s="23"/>
      <c r="T97" s="23"/>
      <c r="U97" s="23"/>
      <c r="V97" s="23"/>
      <c r="W97" s="23"/>
      <c r="X97" s="21"/>
      <c r="Y97" s="21"/>
      <c r="Z97" s="21"/>
      <c r="AA97" s="23"/>
      <c r="AB97" s="23"/>
      <c r="AC97" s="20"/>
      <c r="AD97" s="20"/>
      <c r="AE97" s="23"/>
      <c r="AF97" s="23"/>
      <c r="AG97" s="23"/>
      <c r="AH97" s="23"/>
      <c r="AI97" s="23"/>
      <c r="AJ97" s="23"/>
      <c r="AK97" s="23"/>
      <c r="AL97" s="15"/>
      <c r="AM97" s="23"/>
      <c r="AN97" s="23"/>
      <c r="AO97" s="23"/>
      <c r="AP97" s="20"/>
      <c r="AQ97" s="20"/>
      <c r="AR97" s="20"/>
      <c r="AS97" s="15"/>
      <c r="AT97" s="15"/>
      <c r="AU97" s="15"/>
      <c r="AV97" s="15"/>
      <c r="AW97" s="15"/>
      <c r="AX97" s="15"/>
      <c r="AY97" s="15"/>
      <c r="AZ97" s="15"/>
      <c r="BA97" s="15"/>
      <c r="BB97" s="15"/>
      <c r="BC97" s="15"/>
      <c r="BD97" s="15"/>
      <c r="BE97" s="15"/>
      <c r="BF97" s="15"/>
      <c r="BG97" s="15"/>
      <c r="BH97" s="15"/>
      <c r="BI97" s="15"/>
      <c r="BJ97" s="15"/>
      <c r="BK97" s="23"/>
      <c r="BL97" s="21"/>
    </row>
    <row r="98" spans="1:64" ht="19.5" customHeight="1" x14ac:dyDescent="0.25">
      <c r="A98" s="20"/>
      <c r="B98" s="20"/>
      <c r="C98" s="20"/>
      <c r="D98" s="20"/>
      <c r="E98" s="20"/>
      <c r="F98" s="20"/>
      <c r="G98" s="20"/>
      <c r="H98" s="20"/>
      <c r="I98" s="20"/>
      <c r="J98" s="20"/>
      <c r="K98" s="19"/>
      <c r="L98" s="24"/>
      <c r="M98" s="20"/>
      <c r="N98" s="20"/>
      <c r="O98" s="19"/>
      <c r="P98" s="23"/>
      <c r="Q98" s="23"/>
      <c r="R98" s="21"/>
      <c r="S98" s="23"/>
      <c r="T98" s="23"/>
      <c r="U98" s="23"/>
      <c r="V98" s="23"/>
      <c r="W98" s="23"/>
      <c r="X98" s="21"/>
      <c r="Y98" s="21"/>
      <c r="Z98" s="21"/>
      <c r="AA98" s="23"/>
      <c r="AB98" s="23"/>
      <c r="AC98" s="20"/>
      <c r="AD98" s="20"/>
      <c r="AE98" s="23"/>
      <c r="AF98" s="23"/>
      <c r="AG98" s="23"/>
      <c r="AH98" s="23"/>
      <c r="AI98" s="23"/>
      <c r="AJ98" s="23"/>
      <c r="AK98" s="23"/>
      <c r="AL98" s="15"/>
      <c r="AM98" s="23"/>
      <c r="AN98" s="23"/>
      <c r="AO98" s="23"/>
      <c r="AP98" s="20"/>
      <c r="AQ98" s="20"/>
      <c r="AR98" s="20"/>
      <c r="AS98" s="15"/>
      <c r="AT98" s="15"/>
      <c r="AU98" s="15"/>
      <c r="AV98" s="15"/>
      <c r="AW98" s="15"/>
      <c r="AX98" s="15"/>
      <c r="AY98" s="15"/>
      <c r="AZ98" s="15"/>
      <c r="BA98" s="15"/>
      <c r="BB98" s="15"/>
      <c r="BC98" s="15"/>
      <c r="BD98" s="15"/>
      <c r="BE98" s="15"/>
      <c r="BF98" s="15"/>
      <c r="BG98" s="15"/>
      <c r="BH98" s="15"/>
      <c r="BI98" s="15"/>
      <c r="BJ98" s="15"/>
      <c r="BK98" s="23"/>
      <c r="BL98" s="21"/>
    </row>
    <row r="99" spans="1:64" ht="19.5" customHeight="1" x14ac:dyDescent="0.25">
      <c r="A99" s="20"/>
      <c r="B99" s="20"/>
      <c r="C99" s="20"/>
      <c r="D99" s="20"/>
      <c r="E99" s="20"/>
      <c r="F99" s="20"/>
      <c r="G99" s="20"/>
      <c r="H99" s="20"/>
      <c r="I99" s="20"/>
      <c r="J99" s="20"/>
      <c r="K99" s="19"/>
      <c r="L99" s="24"/>
      <c r="M99" s="20"/>
      <c r="N99" s="20"/>
      <c r="O99" s="19"/>
      <c r="P99" s="23"/>
      <c r="Q99" s="23"/>
      <c r="R99" s="21"/>
      <c r="S99" s="23"/>
      <c r="T99" s="23"/>
      <c r="U99" s="23"/>
      <c r="V99" s="23"/>
      <c r="W99" s="23"/>
      <c r="X99" s="21"/>
      <c r="Y99" s="21"/>
      <c r="Z99" s="21"/>
      <c r="AA99" s="23"/>
      <c r="AB99" s="23"/>
      <c r="AC99" s="20"/>
      <c r="AD99" s="20"/>
      <c r="AE99" s="23"/>
      <c r="AF99" s="23"/>
      <c r="AG99" s="23"/>
      <c r="AH99" s="23"/>
      <c r="AI99" s="23"/>
      <c r="AJ99" s="23"/>
      <c r="AK99" s="23"/>
      <c r="AL99" s="15"/>
      <c r="AM99" s="23"/>
      <c r="AN99" s="23"/>
      <c r="AO99" s="23"/>
      <c r="AP99" s="20"/>
      <c r="AQ99" s="20"/>
      <c r="AR99" s="20"/>
      <c r="AS99" s="15"/>
      <c r="AT99" s="15"/>
      <c r="AU99" s="15"/>
      <c r="AV99" s="15"/>
      <c r="AW99" s="15"/>
      <c r="AX99" s="15"/>
      <c r="AY99" s="15"/>
      <c r="AZ99" s="15"/>
      <c r="BA99" s="15"/>
      <c r="BB99" s="15"/>
      <c r="BC99" s="15"/>
      <c r="BD99" s="15"/>
      <c r="BE99" s="15"/>
      <c r="BF99" s="15"/>
      <c r="BG99" s="15"/>
      <c r="BH99" s="15"/>
      <c r="BI99" s="15"/>
      <c r="BJ99" s="15"/>
      <c r="BK99" s="23"/>
      <c r="BL99" s="21"/>
    </row>
    <row r="100" spans="1:64" ht="19.5" customHeight="1" x14ac:dyDescent="0.25">
      <c r="A100" s="20"/>
      <c r="B100" s="20"/>
      <c r="C100" s="20"/>
      <c r="D100" s="20"/>
      <c r="E100" s="20"/>
      <c r="F100" s="20"/>
      <c r="G100" s="20"/>
      <c r="H100" s="20"/>
      <c r="I100" s="20"/>
      <c r="J100" s="20"/>
      <c r="K100" s="19"/>
      <c r="L100" s="24"/>
      <c r="M100" s="20"/>
      <c r="N100" s="20"/>
      <c r="O100" s="19"/>
      <c r="P100" s="23"/>
      <c r="Q100" s="23"/>
      <c r="R100" s="21"/>
      <c r="S100" s="23"/>
      <c r="T100" s="23"/>
      <c r="U100" s="23"/>
      <c r="V100" s="23"/>
      <c r="W100" s="23"/>
      <c r="X100" s="21"/>
      <c r="Y100" s="21"/>
      <c r="Z100" s="21"/>
      <c r="AA100" s="23"/>
      <c r="AB100" s="23"/>
      <c r="AC100" s="20"/>
      <c r="AD100" s="20"/>
      <c r="AE100" s="23"/>
      <c r="AF100" s="23"/>
      <c r="AG100" s="23"/>
      <c r="AH100" s="23"/>
      <c r="AI100" s="23"/>
      <c r="AJ100" s="23"/>
      <c r="AK100" s="23"/>
      <c r="AL100" s="15"/>
      <c r="AM100" s="23"/>
      <c r="AN100" s="23"/>
      <c r="AO100" s="23"/>
      <c r="AP100" s="20"/>
      <c r="AQ100" s="20"/>
      <c r="AR100" s="20"/>
      <c r="AS100" s="15"/>
      <c r="AT100" s="15"/>
      <c r="AU100" s="15"/>
      <c r="AV100" s="15"/>
      <c r="AW100" s="15"/>
      <c r="AX100" s="15"/>
      <c r="AY100" s="15"/>
      <c r="AZ100" s="15"/>
      <c r="BA100" s="15"/>
      <c r="BB100" s="15"/>
      <c r="BC100" s="15"/>
      <c r="BD100" s="15"/>
      <c r="BE100" s="15"/>
      <c r="BF100" s="15"/>
      <c r="BG100" s="15"/>
      <c r="BH100" s="15"/>
      <c r="BI100" s="15"/>
      <c r="BJ100" s="15"/>
      <c r="BK100" s="23"/>
      <c r="BL100" s="21"/>
    </row>
    <row r="101" spans="1:64" ht="19.5" customHeight="1" x14ac:dyDescent="0.25">
      <c r="A101" s="20"/>
      <c r="B101" s="20"/>
      <c r="C101" s="20"/>
      <c r="D101" s="20"/>
      <c r="E101" s="20"/>
      <c r="F101" s="20"/>
      <c r="G101" s="20"/>
      <c r="H101" s="20"/>
      <c r="I101" s="20"/>
      <c r="J101" s="20"/>
      <c r="K101" s="19"/>
      <c r="L101" s="24"/>
      <c r="M101" s="20"/>
      <c r="N101" s="20"/>
      <c r="O101" s="19"/>
      <c r="P101" s="23"/>
      <c r="Q101" s="23"/>
      <c r="R101" s="21"/>
      <c r="S101" s="23"/>
      <c r="T101" s="23"/>
      <c r="U101" s="23"/>
      <c r="V101" s="23"/>
      <c r="W101" s="23"/>
      <c r="X101" s="21"/>
      <c r="Y101" s="21"/>
      <c r="Z101" s="21"/>
      <c r="AA101" s="23"/>
      <c r="AB101" s="23"/>
      <c r="AC101" s="20"/>
      <c r="AD101" s="20"/>
      <c r="AE101" s="23"/>
      <c r="AF101" s="23"/>
      <c r="AG101" s="23"/>
      <c r="AH101" s="23"/>
      <c r="AI101" s="23"/>
      <c r="AJ101" s="23"/>
      <c r="AK101" s="23"/>
      <c r="AL101" s="15"/>
      <c r="AM101" s="23"/>
      <c r="AN101" s="23"/>
      <c r="AO101" s="23"/>
      <c r="AP101" s="20"/>
      <c r="AQ101" s="20"/>
      <c r="AR101" s="20"/>
      <c r="AS101" s="15"/>
      <c r="AT101" s="15"/>
      <c r="AU101" s="15"/>
      <c r="AV101" s="15"/>
      <c r="AW101" s="15"/>
      <c r="AX101" s="15"/>
      <c r="AY101" s="15"/>
      <c r="AZ101" s="15"/>
      <c r="BA101" s="15"/>
      <c r="BB101" s="15"/>
      <c r="BC101" s="15"/>
      <c r="BD101" s="15"/>
      <c r="BE101" s="15"/>
      <c r="BF101" s="15"/>
      <c r="BG101" s="15"/>
      <c r="BH101" s="15"/>
      <c r="BI101" s="15"/>
      <c r="BJ101" s="15"/>
      <c r="BK101" s="23"/>
      <c r="BL101" s="21"/>
    </row>
    <row r="102" spans="1:64" ht="19.5" customHeight="1" x14ac:dyDescent="0.25">
      <c r="A102" s="20"/>
      <c r="B102" s="20"/>
      <c r="C102" s="20"/>
      <c r="D102" s="20"/>
      <c r="E102" s="20"/>
      <c r="F102" s="20"/>
      <c r="G102" s="20"/>
      <c r="H102" s="20"/>
      <c r="I102" s="20"/>
      <c r="J102" s="20"/>
      <c r="K102" s="19"/>
      <c r="L102" s="24"/>
      <c r="M102" s="20"/>
      <c r="N102" s="20"/>
      <c r="O102" s="19"/>
      <c r="P102" s="23"/>
      <c r="Q102" s="23"/>
      <c r="R102" s="21"/>
      <c r="S102" s="23"/>
      <c r="T102" s="23"/>
      <c r="U102" s="23"/>
      <c r="V102" s="23"/>
      <c r="W102" s="23"/>
      <c r="X102" s="21"/>
      <c r="Y102" s="21"/>
      <c r="Z102" s="21"/>
      <c r="AA102" s="23"/>
      <c r="AB102" s="23"/>
      <c r="AC102" s="20"/>
      <c r="AD102" s="20"/>
      <c r="AE102" s="23"/>
      <c r="AF102" s="23"/>
      <c r="AG102" s="23"/>
      <c r="AH102" s="23"/>
      <c r="AI102" s="23"/>
      <c r="AJ102" s="23"/>
      <c r="AK102" s="23"/>
      <c r="AL102" s="15"/>
      <c r="AM102" s="23"/>
      <c r="AN102" s="23"/>
      <c r="AO102" s="23"/>
      <c r="AP102" s="20"/>
      <c r="AQ102" s="20"/>
      <c r="AR102" s="20"/>
      <c r="AS102" s="15"/>
      <c r="AT102" s="15"/>
      <c r="AU102" s="15"/>
      <c r="AV102" s="15"/>
      <c r="AW102" s="15"/>
      <c r="AX102" s="15"/>
      <c r="AY102" s="15"/>
      <c r="AZ102" s="15"/>
      <c r="BA102" s="15"/>
      <c r="BB102" s="15"/>
      <c r="BC102" s="15"/>
      <c r="BD102" s="15"/>
      <c r="BE102" s="15"/>
      <c r="BF102" s="15"/>
      <c r="BG102" s="15"/>
      <c r="BH102" s="15"/>
      <c r="BI102" s="15"/>
      <c r="BJ102" s="15"/>
      <c r="BK102" s="23"/>
      <c r="BL102" s="21"/>
    </row>
    <row r="103" spans="1:64" ht="19.5" customHeight="1" x14ac:dyDescent="0.25">
      <c r="A103" s="20"/>
      <c r="B103" s="20"/>
      <c r="C103" s="20"/>
      <c r="D103" s="20"/>
      <c r="E103" s="20"/>
      <c r="F103" s="20"/>
      <c r="G103" s="20"/>
      <c r="H103" s="20"/>
      <c r="I103" s="20"/>
      <c r="J103" s="20"/>
      <c r="K103" s="19"/>
      <c r="L103" s="24"/>
      <c r="M103" s="20"/>
      <c r="N103" s="20"/>
      <c r="O103" s="19"/>
      <c r="P103" s="23"/>
      <c r="Q103" s="23"/>
      <c r="R103" s="21"/>
      <c r="S103" s="23"/>
      <c r="T103" s="23"/>
      <c r="U103" s="23"/>
      <c r="V103" s="23"/>
      <c r="W103" s="23"/>
      <c r="X103" s="21"/>
      <c r="Y103" s="21"/>
      <c r="Z103" s="21"/>
      <c r="AA103" s="23"/>
      <c r="AB103" s="23"/>
      <c r="AC103" s="20"/>
      <c r="AD103" s="20"/>
      <c r="AE103" s="23"/>
      <c r="AF103" s="23"/>
      <c r="AG103" s="23"/>
      <c r="AH103" s="23"/>
      <c r="AI103" s="23"/>
      <c r="AJ103" s="23"/>
      <c r="AK103" s="23"/>
      <c r="AL103" s="15"/>
      <c r="AM103" s="23"/>
      <c r="AN103" s="23"/>
      <c r="AO103" s="23"/>
      <c r="AP103" s="20"/>
      <c r="AQ103" s="20"/>
      <c r="AR103" s="20"/>
      <c r="AS103" s="15"/>
      <c r="AT103" s="15"/>
      <c r="AU103" s="15"/>
      <c r="AV103" s="15"/>
      <c r="AW103" s="15"/>
      <c r="AX103" s="15"/>
      <c r="AY103" s="15"/>
      <c r="AZ103" s="15"/>
      <c r="BA103" s="15"/>
      <c r="BB103" s="15"/>
      <c r="BC103" s="15"/>
      <c r="BD103" s="15"/>
      <c r="BE103" s="15"/>
      <c r="BF103" s="15"/>
      <c r="BG103" s="15"/>
      <c r="BH103" s="15"/>
      <c r="BI103" s="15"/>
      <c r="BJ103" s="15"/>
      <c r="BK103" s="23"/>
      <c r="BL103" s="21"/>
    </row>
    <row r="104" spans="1:64" ht="19.5" customHeight="1" x14ac:dyDescent="0.25">
      <c r="A104" s="20"/>
      <c r="B104" s="20"/>
      <c r="C104" s="20"/>
      <c r="D104" s="20"/>
      <c r="E104" s="20"/>
      <c r="F104" s="20"/>
      <c r="G104" s="20"/>
      <c r="H104" s="20"/>
      <c r="I104" s="20"/>
      <c r="J104" s="20"/>
      <c r="K104" s="19"/>
      <c r="L104" s="24"/>
      <c r="M104" s="20"/>
      <c r="N104" s="20"/>
      <c r="O104" s="19"/>
      <c r="P104" s="23"/>
      <c r="Q104" s="23"/>
      <c r="R104" s="21"/>
      <c r="S104" s="23"/>
      <c r="T104" s="23"/>
      <c r="U104" s="23"/>
      <c r="V104" s="23"/>
      <c r="W104" s="23"/>
      <c r="X104" s="21"/>
      <c r="Y104" s="21"/>
      <c r="Z104" s="21"/>
      <c r="AA104" s="23"/>
      <c r="AB104" s="23"/>
      <c r="AC104" s="20"/>
      <c r="AD104" s="20"/>
      <c r="AE104" s="23"/>
      <c r="AF104" s="23"/>
      <c r="AG104" s="23"/>
      <c r="AH104" s="23"/>
      <c r="AI104" s="23"/>
      <c r="AJ104" s="23"/>
      <c r="AK104" s="23"/>
      <c r="AL104" s="15"/>
      <c r="AM104" s="23"/>
      <c r="AN104" s="23"/>
      <c r="AO104" s="23"/>
      <c r="AP104" s="20"/>
      <c r="AQ104" s="20"/>
      <c r="AR104" s="20"/>
      <c r="AS104" s="15"/>
      <c r="AT104" s="15"/>
      <c r="AU104" s="15"/>
      <c r="AV104" s="15"/>
      <c r="AW104" s="15"/>
      <c r="AX104" s="15"/>
      <c r="AY104" s="15"/>
      <c r="AZ104" s="15"/>
      <c r="BA104" s="15"/>
      <c r="BB104" s="15"/>
      <c r="BC104" s="15"/>
      <c r="BD104" s="15"/>
      <c r="BE104" s="15"/>
      <c r="BF104" s="15"/>
      <c r="BG104" s="15"/>
      <c r="BH104" s="15"/>
      <c r="BI104" s="15"/>
      <c r="BJ104" s="15"/>
      <c r="BK104" s="23"/>
      <c r="BL104" s="21"/>
    </row>
    <row r="105" spans="1:64" ht="19.5" customHeight="1" x14ac:dyDescent="0.25">
      <c r="A105" s="20"/>
      <c r="B105" s="20"/>
      <c r="C105" s="20"/>
      <c r="D105" s="20"/>
      <c r="E105" s="20"/>
      <c r="F105" s="20"/>
      <c r="G105" s="20"/>
      <c r="H105" s="20"/>
      <c r="I105" s="20"/>
      <c r="J105" s="20"/>
      <c r="K105" s="19"/>
      <c r="L105" s="24"/>
      <c r="M105" s="20"/>
      <c r="N105" s="20"/>
      <c r="O105" s="19"/>
      <c r="P105" s="23"/>
      <c r="Q105" s="23"/>
      <c r="R105" s="21"/>
      <c r="S105" s="23"/>
      <c r="T105" s="23"/>
      <c r="U105" s="23"/>
      <c r="V105" s="23"/>
      <c r="W105" s="23"/>
      <c r="X105" s="21"/>
      <c r="Y105" s="21"/>
      <c r="Z105" s="21"/>
      <c r="AA105" s="23"/>
      <c r="AB105" s="23"/>
      <c r="AC105" s="20"/>
      <c r="AD105" s="20"/>
      <c r="AE105" s="23"/>
      <c r="AF105" s="23"/>
      <c r="AG105" s="23"/>
      <c r="AH105" s="23"/>
      <c r="AI105" s="23"/>
      <c r="AJ105" s="23"/>
      <c r="AK105" s="23"/>
      <c r="AL105" s="15"/>
      <c r="AM105" s="23"/>
      <c r="AN105" s="23"/>
      <c r="AO105" s="23"/>
      <c r="AP105" s="20"/>
      <c r="AQ105" s="20"/>
      <c r="AR105" s="20"/>
      <c r="AS105" s="15"/>
      <c r="AT105" s="15"/>
      <c r="AU105" s="15"/>
      <c r="AV105" s="15"/>
      <c r="AW105" s="15"/>
      <c r="AX105" s="15"/>
      <c r="AY105" s="15"/>
      <c r="AZ105" s="15"/>
      <c r="BA105" s="15"/>
      <c r="BB105" s="15"/>
      <c r="BC105" s="15"/>
      <c r="BD105" s="15"/>
      <c r="BE105" s="15"/>
      <c r="BF105" s="15"/>
      <c r="BG105" s="15"/>
      <c r="BH105" s="15"/>
      <c r="BI105" s="15"/>
      <c r="BJ105" s="15"/>
      <c r="BK105" s="23"/>
      <c r="BL105" s="21"/>
    </row>
    <row r="106" spans="1:64" ht="19.5" customHeight="1" x14ac:dyDescent="0.25">
      <c r="A106" s="20"/>
      <c r="B106" s="20"/>
      <c r="C106" s="20"/>
      <c r="D106" s="20"/>
      <c r="E106" s="20"/>
      <c r="F106" s="20"/>
      <c r="G106" s="20"/>
      <c r="H106" s="20"/>
      <c r="I106" s="20"/>
      <c r="J106" s="20"/>
      <c r="K106" s="19"/>
      <c r="L106" s="24"/>
      <c r="M106" s="20"/>
      <c r="N106" s="20"/>
      <c r="O106" s="19"/>
      <c r="P106" s="23"/>
      <c r="Q106" s="23"/>
      <c r="R106" s="21"/>
      <c r="S106" s="23"/>
      <c r="T106" s="23"/>
      <c r="U106" s="23"/>
      <c r="V106" s="23"/>
      <c r="W106" s="23"/>
      <c r="X106" s="21"/>
      <c r="Y106" s="21"/>
      <c r="Z106" s="21"/>
      <c r="AA106" s="23"/>
      <c r="AB106" s="23"/>
      <c r="AC106" s="20"/>
      <c r="AD106" s="20"/>
      <c r="AE106" s="23"/>
      <c r="AF106" s="23"/>
      <c r="AG106" s="23"/>
      <c r="AH106" s="23"/>
      <c r="AI106" s="23"/>
      <c r="AJ106" s="23"/>
      <c r="AK106" s="23"/>
      <c r="AL106" s="15"/>
      <c r="AM106" s="23"/>
      <c r="AN106" s="23"/>
      <c r="AO106" s="23"/>
      <c r="AP106" s="20"/>
      <c r="AQ106" s="20"/>
      <c r="AR106" s="20"/>
      <c r="AS106" s="15"/>
      <c r="AT106" s="15"/>
      <c r="AU106" s="15"/>
      <c r="AV106" s="15"/>
      <c r="AW106" s="15"/>
      <c r="AX106" s="15"/>
      <c r="AY106" s="15"/>
      <c r="AZ106" s="15"/>
      <c r="BA106" s="15"/>
      <c r="BB106" s="15"/>
      <c r="BC106" s="15"/>
      <c r="BD106" s="15"/>
      <c r="BE106" s="15"/>
      <c r="BF106" s="15"/>
      <c r="BG106" s="15"/>
      <c r="BH106" s="15"/>
      <c r="BI106" s="15"/>
      <c r="BJ106" s="15"/>
      <c r="BK106" s="23"/>
      <c r="BL106" s="21"/>
    </row>
    <row r="107" spans="1:64" ht="19.5" customHeight="1" x14ac:dyDescent="0.25">
      <c r="A107" s="20"/>
      <c r="B107" s="20"/>
      <c r="C107" s="20"/>
      <c r="D107" s="20"/>
      <c r="E107" s="20"/>
      <c r="F107" s="20"/>
      <c r="G107" s="20"/>
      <c r="H107" s="20"/>
      <c r="I107" s="20"/>
      <c r="J107" s="20"/>
      <c r="K107" s="19"/>
      <c r="L107" s="24"/>
      <c r="M107" s="20"/>
      <c r="N107" s="20"/>
      <c r="O107" s="19"/>
      <c r="P107" s="23"/>
      <c r="Q107" s="23"/>
      <c r="R107" s="21"/>
      <c r="S107" s="23"/>
      <c r="T107" s="23"/>
      <c r="U107" s="23"/>
      <c r="V107" s="23"/>
      <c r="W107" s="23"/>
      <c r="X107" s="21"/>
      <c r="Y107" s="21"/>
      <c r="Z107" s="21"/>
      <c r="AA107" s="23"/>
      <c r="AB107" s="23"/>
      <c r="AC107" s="20"/>
      <c r="AD107" s="20"/>
      <c r="AE107" s="23"/>
      <c r="AF107" s="23"/>
      <c r="AG107" s="23"/>
      <c r="AH107" s="23"/>
      <c r="AI107" s="23"/>
      <c r="AJ107" s="23"/>
      <c r="AK107" s="23"/>
      <c r="AL107" s="15"/>
      <c r="AM107" s="23"/>
      <c r="AN107" s="23"/>
      <c r="AO107" s="23"/>
      <c r="AP107" s="20"/>
      <c r="AQ107" s="20"/>
      <c r="AR107" s="20"/>
      <c r="AS107" s="15"/>
      <c r="AT107" s="15"/>
      <c r="AU107" s="15"/>
      <c r="AV107" s="15"/>
      <c r="AW107" s="15"/>
      <c r="AX107" s="15"/>
      <c r="AY107" s="15"/>
      <c r="AZ107" s="15"/>
      <c r="BA107" s="15"/>
      <c r="BB107" s="15"/>
      <c r="BC107" s="15"/>
      <c r="BD107" s="15"/>
      <c r="BE107" s="15"/>
      <c r="BF107" s="15"/>
      <c r="BG107" s="15"/>
      <c r="BH107" s="15"/>
      <c r="BI107" s="15"/>
      <c r="BJ107" s="15"/>
      <c r="BK107" s="23"/>
      <c r="BL107" s="21"/>
    </row>
    <row r="108" spans="1:64" ht="19.5" customHeight="1" x14ac:dyDescent="0.25">
      <c r="A108" s="20"/>
      <c r="B108" s="20"/>
      <c r="C108" s="20"/>
      <c r="D108" s="20"/>
      <c r="E108" s="20"/>
      <c r="F108" s="20"/>
      <c r="G108" s="20"/>
      <c r="H108" s="20"/>
      <c r="I108" s="20"/>
      <c r="J108" s="20"/>
      <c r="K108" s="19"/>
      <c r="L108" s="24"/>
      <c r="M108" s="20"/>
      <c r="N108" s="20"/>
      <c r="O108" s="19"/>
      <c r="P108" s="23"/>
      <c r="Q108" s="23"/>
      <c r="R108" s="21"/>
      <c r="S108" s="23"/>
      <c r="T108" s="23"/>
      <c r="U108" s="23"/>
      <c r="V108" s="23"/>
      <c r="W108" s="23"/>
      <c r="X108" s="21"/>
      <c r="Y108" s="21"/>
      <c r="Z108" s="21"/>
      <c r="AA108" s="23"/>
      <c r="AB108" s="23"/>
      <c r="AC108" s="20"/>
      <c r="AD108" s="20"/>
      <c r="AE108" s="23"/>
      <c r="AF108" s="23"/>
      <c r="AG108" s="23"/>
      <c r="AH108" s="23"/>
      <c r="AI108" s="23"/>
      <c r="AJ108" s="23"/>
      <c r="AK108" s="23"/>
      <c r="AL108" s="15"/>
      <c r="AM108" s="23"/>
      <c r="AN108" s="23"/>
      <c r="AO108" s="23"/>
      <c r="AP108" s="20"/>
      <c r="AQ108" s="20"/>
      <c r="AR108" s="20"/>
      <c r="AS108" s="15"/>
      <c r="AT108" s="15"/>
      <c r="AU108" s="15"/>
      <c r="AV108" s="15"/>
      <c r="AW108" s="15"/>
      <c r="AX108" s="15"/>
      <c r="AY108" s="15"/>
      <c r="AZ108" s="15"/>
      <c r="BA108" s="15"/>
      <c r="BB108" s="15"/>
      <c r="BC108" s="15"/>
      <c r="BD108" s="15"/>
      <c r="BE108" s="15"/>
      <c r="BF108" s="15"/>
      <c r="BG108" s="15"/>
      <c r="BH108" s="15"/>
      <c r="BI108" s="15"/>
      <c r="BJ108" s="15"/>
      <c r="BK108" s="23"/>
      <c r="BL108" s="21"/>
    </row>
    <row r="109" spans="1:64" ht="19.5" customHeight="1" x14ac:dyDescent="0.25">
      <c r="A109" s="20"/>
      <c r="B109" s="20"/>
      <c r="C109" s="20"/>
      <c r="D109" s="20"/>
      <c r="E109" s="20"/>
      <c r="F109" s="20"/>
      <c r="G109" s="20"/>
      <c r="H109" s="20"/>
      <c r="I109" s="20"/>
      <c r="J109" s="20"/>
      <c r="K109" s="19"/>
      <c r="L109" s="24"/>
      <c r="M109" s="20"/>
      <c r="N109" s="20"/>
      <c r="O109" s="19"/>
      <c r="P109" s="23"/>
      <c r="Q109" s="23"/>
      <c r="R109" s="21"/>
      <c r="S109" s="23"/>
      <c r="T109" s="23"/>
      <c r="U109" s="23"/>
      <c r="V109" s="23"/>
      <c r="W109" s="23"/>
      <c r="X109" s="21"/>
      <c r="Y109" s="21"/>
      <c r="Z109" s="21"/>
      <c r="AA109" s="23"/>
      <c r="AB109" s="23"/>
      <c r="AC109" s="20"/>
      <c r="AD109" s="20"/>
      <c r="AE109" s="23"/>
      <c r="AF109" s="23"/>
      <c r="AG109" s="23"/>
      <c r="AH109" s="23"/>
      <c r="AI109" s="23"/>
      <c r="AJ109" s="23"/>
      <c r="AK109" s="23"/>
      <c r="AL109" s="15"/>
      <c r="AM109" s="23"/>
      <c r="AN109" s="23"/>
      <c r="AO109" s="23"/>
      <c r="AP109" s="20"/>
      <c r="AQ109" s="20"/>
      <c r="AR109" s="20"/>
      <c r="AS109" s="15"/>
      <c r="AT109" s="15"/>
      <c r="AU109" s="15"/>
      <c r="AV109" s="15"/>
      <c r="AW109" s="15"/>
      <c r="AX109" s="15"/>
      <c r="AY109" s="15"/>
      <c r="AZ109" s="15"/>
      <c r="BA109" s="15"/>
      <c r="BB109" s="15"/>
      <c r="BC109" s="15"/>
      <c r="BD109" s="15"/>
      <c r="BE109" s="15"/>
      <c r="BF109" s="15"/>
      <c r="BG109" s="15"/>
      <c r="BH109" s="15"/>
      <c r="BI109" s="15"/>
      <c r="BJ109" s="15"/>
      <c r="BK109" s="23"/>
      <c r="BL109" s="21"/>
    </row>
    <row r="110" spans="1:64" ht="19.5" customHeight="1" x14ac:dyDescent="0.25">
      <c r="A110" s="20"/>
      <c r="B110" s="20"/>
      <c r="C110" s="20"/>
      <c r="D110" s="20"/>
      <c r="E110" s="20"/>
      <c r="F110" s="20"/>
      <c r="G110" s="20"/>
      <c r="H110" s="20"/>
      <c r="I110" s="20"/>
      <c r="J110" s="20"/>
      <c r="K110" s="19"/>
      <c r="L110" s="24"/>
      <c r="M110" s="20"/>
      <c r="N110" s="20"/>
      <c r="O110" s="19"/>
      <c r="P110" s="23"/>
      <c r="Q110" s="23"/>
      <c r="R110" s="21"/>
      <c r="S110" s="23"/>
      <c r="T110" s="23"/>
      <c r="U110" s="23"/>
      <c r="V110" s="23"/>
      <c r="W110" s="23"/>
      <c r="X110" s="21"/>
      <c r="Y110" s="21"/>
      <c r="Z110" s="21"/>
      <c r="AA110" s="23"/>
      <c r="AB110" s="23"/>
      <c r="AC110" s="20"/>
      <c r="AD110" s="20"/>
      <c r="AE110" s="23"/>
      <c r="AF110" s="23"/>
      <c r="AG110" s="23"/>
      <c r="AH110" s="23"/>
      <c r="AI110" s="23"/>
      <c r="AJ110" s="23"/>
      <c r="AK110" s="23"/>
      <c r="AL110" s="15"/>
      <c r="AM110" s="23"/>
      <c r="AN110" s="23"/>
      <c r="AO110" s="23"/>
      <c r="AP110" s="20"/>
      <c r="AQ110" s="20"/>
      <c r="AR110" s="20"/>
      <c r="AS110" s="15"/>
      <c r="AT110" s="15"/>
      <c r="AU110" s="15"/>
      <c r="AV110" s="15"/>
      <c r="AW110" s="15"/>
      <c r="AX110" s="15"/>
      <c r="AY110" s="15"/>
      <c r="AZ110" s="15"/>
      <c r="BA110" s="15"/>
      <c r="BB110" s="15"/>
      <c r="BC110" s="15"/>
      <c r="BD110" s="15"/>
      <c r="BE110" s="15"/>
      <c r="BF110" s="15"/>
      <c r="BG110" s="15"/>
      <c r="BH110" s="15"/>
      <c r="BI110" s="15"/>
      <c r="BJ110" s="15"/>
      <c r="BK110" s="23"/>
      <c r="BL110" s="21"/>
    </row>
    <row r="111" spans="1:64" ht="19.5" customHeight="1" x14ac:dyDescent="0.25">
      <c r="A111" s="20"/>
      <c r="B111" s="20"/>
      <c r="C111" s="20"/>
      <c r="D111" s="20"/>
      <c r="E111" s="20"/>
      <c r="F111" s="20"/>
      <c r="G111" s="20"/>
      <c r="H111" s="20"/>
      <c r="I111" s="20"/>
      <c r="J111" s="20"/>
      <c r="K111" s="19"/>
      <c r="L111" s="24"/>
      <c r="M111" s="20"/>
      <c r="N111" s="20"/>
      <c r="O111" s="19"/>
      <c r="P111" s="23"/>
      <c r="Q111" s="23"/>
      <c r="R111" s="21"/>
      <c r="S111" s="23"/>
      <c r="T111" s="23"/>
      <c r="U111" s="23"/>
      <c r="V111" s="23"/>
      <c r="W111" s="23"/>
      <c r="X111" s="21"/>
      <c r="Y111" s="21"/>
      <c r="Z111" s="21"/>
      <c r="AA111" s="23"/>
      <c r="AB111" s="23"/>
      <c r="AC111" s="20"/>
      <c r="AD111" s="20"/>
      <c r="AE111" s="23"/>
      <c r="AF111" s="23"/>
      <c r="AG111" s="23"/>
      <c r="AH111" s="23"/>
      <c r="AI111" s="23"/>
      <c r="AJ111" s="23"/>
      <c r="AK111" s="23"/>
      <c r="AL111" s="15"/>
      <c r="AM111" s="23"/>
      <c r="AN111" s="23"/>
      <c r="AO111" s="23"/>
      <c r="AP111" s="20"/>
      <c r="AQ111" s="20"/>
      <c r="AR111" s="20"/>
      <c r="AS111" s="15"/>
      <c r="AT111" s="15"/>
      <c r="AU111" s="15"/>
      <c r="AV111" s="15"/>
      <c r="AW111" s="15"/>
      <c r="AX111" s="15"/>
      <c r="AY111" s="15"/>
      <c r="AZ111" s="15"/>
      <c r="BA111" s="15"/>
      <c r="BB111" s="15"/>
      <c r="BC111" s="15"/>
      <c r="BD111" s="15"/>
      <c r="BE111" s="15"/>
      <c r="BF111" s="15"/>
      <c r="BG111" s="15"/>
      <c r="BH111" s="15"/>
      <c r="BI111" s="15"/>
      <c r="BJ111" s="15"/>
      <c r="BK111" s="23"/>
      <c r="BL111" s="21"/>
    </row>
    <row r="112" spans="1:64" ht="19.5" customHeight="1" x14ac:dyDescent="0.25">
      <c r="A112" s="20"/>
      <c r="B112" s="20"/>
      <c r="C112" s="20"/>
      <c r="D112" s="20"/>
      <c r="E112" s="20"/>
      <c r="F112" s="20"/>
      <c r="G112" s="20"/>
      <c r="H112" s="20"/>
      <c r="I112" s="20"/>
      <c r="J112" s="20"/>
      <c r="K112" s="19"/>
      <c r="L112" s="24"/>
      <c r="M112" s="20"/>
      <c r="N112" s="20"/>
      <c r="O112" s="19"/>
      <c r="P112" s="23"/>
      <c r="Q112" s="23"/>
      <c r="R112" s="21"/>
      <c r="S112" s="23"/>
      <c r="T112" s="23"/>
      <c r="U112" s="23"/>
      <c r="V112" s="23"/>
      <c r="W112" s="23"/>
      <c r="X112" s="21"/>
      <c r="Y112" s="21"/>
      <c r="Z112" s="21"/>
      <c r="AA112" s="23"/>
      <c r="AB112" s="23"/>
      <c r="AC112" s="20"/>
      <c r="AD112" s="20"/>
      <c r="AE112" s="23"/>
      <c r="AF112" s="23"/>
      <c r="AG112" s="23"/>
      <c r="AH112" s="23"/>
      <c r="AI112" s="23"/>
      <c r="AJ112" s="23"/>
      <c r="AK112" s="23"/>
      <c r="AL112" s="15"/>
      <c r="AM112" s="23"/>
      <c r="AN112" s="23"/>
      <c r="AO112" s="23"/>
      <c r="AP112" s="20"/>
      <c r="AQ112" s="20"/>
      <c r="AR112" s="20"/>
      <c r="AS112" s="15"/>
      <c r="AT112" s="15"/>
      <c r="AU112" s="15"/>
      <c r="AV112" s="15"/>
      <c r="AW112" s="15"/>
      <c r="AX112" s="15"/>
      <c r="AY112" s="15"/>
      <c r="AZ112" s="15"/>
      <c r="BA112" s="15"/>
      <c r="BB112" s="15"/>
      <c r="BC112" s="15"/>
      <c r="BD112" s="15"/>
      <c r="BE112" s="15"/>
      <c r="BF112" s="15"/>
      <c r="BG112" s="15"/>
      <c r="BH112" s="15"/>
      <c r="BI112" s="15"/>
      <c r="BJ112" s="15"/>
      <c r="BK112" s="23"/>
      <c r="BL112" s="21"/>
    </row>
    <row r="113" spans="1:64" ht="19.5" customHeight="1" x14ac:dyDescent="0.25">
      <c r="A113" s="20"/>
      <c r="B113" s="20"/>
      <c r="C113" s="20"/>
      <c r="D113" s="20"/>
      <c r="E113" s="20"/>
      <c r="F113" s="20"/>
      <c r="G113" s="20"/>
      <c r="H113" s="20"/>
      <c r="I113" s="20"/>
      <c r="J113" s="20"/>
      <c r="K113" s="19"/>
      <c r="L113" s="24"/>
      <c r="M113" s="20"/>
      <c r="N113" s="20"/>
      <c r="O113" s="19"/>
      <c r="P113" s="23"/>
      <c r="Q113" s="23"/>
      <c r="R113" s="21"/>
      <c r="S113" s="23"/>
      <c r="T113" s="23"/>
      <c r="U113" s="23"/>
      <c r="V113" s="23"/>
      <c r="W113" s="23"/>
      <c r="X113" s="21"/>
      <c r="Y113" s="21"/>
      <c r="Z113" s="21"/>
      <c r="AA113" s="23"/>
      <c r="AB113" s="23"/>
      <c r="AC113" s="20"/>
      <c r="AD113" s="20"/>
      <c r="AE113" s="23"/>
      <c r="AF113" s="23"/>
      <c r="AG113" s="23"/>
      <c r="AH113" s="23"/>
      <c r="AI113" s="23"/>
      <c r="AJ113" s="23"/>
      <c r="AK113" s="23"/>
      <c r="AL113" s="15"/>
      <c r="AM113" s="23"/>
      <c r="AN113" s="23"/>
      <c r="AO113" s="23"/>
      <c r="AP113" s="20"/>
      <c r="AQ113" s="20"/>
      <c r="AR113" s="20"/>
      <c r="AS113" s="15"/>
      <c r="AT113" s="15"/>
      <c r="AU113" s="15"/>
      <c r="AV113" s="15"/>
      <c r="AW113" s="15"/>
      <c r="AX113" s="15"/>
      <c r="AY113" s="15"/>
      <c r="AZ113" s="15"/>
      <c r="BA113" s="15"/>
      <c r="BB113" s="15"/>
      <c r="BC113" s="15"/>
      <c r="BD113" s="15"/>
      <c r="BE113" s="15"/>
      <c r="BF113" s="15"/>
      <c r="BG113" s="15"/>
      <c r="BH113" s="15"/>
      <c r="BI113" s="15"/>
      <c r="BJ113" s="15"/>
      <c r="BK113" s="23"/>
      <c r="BL113" s="21"/>
    </row>
    <row r="114" spans="1:64" ht="19.5" customHeight="1" x14ac:dyDescent="0.25">
      <c r="A114" s="20"/>
      <c r="B114" s="20"/>
      <c r="C114" s="20"/>
      <c r="D114" s="20"/>
      <c r="E114" s="20"/>
      <c r="F114" s="20"/>
      <c r="G114" s="20"/>
      <c r="H114" s="20"/>
      <c r="I114" s="20"/>
      <c r="J114" s="20"/>
      <c r="K114" s="19"/>
      <c r="L114" s="24"/>
      <c r="M114" s="20"/>
      <c r="N114" s="20"/>
      <c r="O114" s="19"/>
      <c r="P114" s="23"/>
      <c r="Q114" s="23"/>
      <c r="R114" s="21"/>
      <c r="S114" s="23"/>
      <c r="T114" s="23"/>
      <c r="U114" s="23"/>
      <c r="V114" s="23"/>
      <c r="W114" s="23"/>
      <c r="X114" s="21"/>
      <c r="Y114" s="21"/>
      <c r="Z114" s="21"/>
      <c r="AA114" s="23"/>
      <c r="AB114" s="23"/>
      <c r="AC114" s="20"/>
      <c r="AD114" s="20"/>
      <c r="AE114" s="23"/>
      <c r="AF114" s="23"/>
      <c r="AG114" s="23"/>
      <c r="AH114" s="23"/>
      <c r="AI114" s="23"/>
      <c r="AJ114" s="23"/>
      <c r="AK114" s="23"/>
      <c r="AL114" s="15"/>
      <c r="AM114" s="23"/>
      <c r="AN114" s="23"/>
      <c r="AO114" s="23"/>
      <c r="AP114" s="20"/>
      <c r="AQ114" s="20"/>
      <c r="AR114" s="20"/>
      <c r="AS114" s="15"/>
      <c r="AT114" s="15"/>
      <c r="AU114" s="15"/>
      <c r="AV114" s="15"/>
      <c r="AW114" s="15"/>
      <c r="AX114" s="15"/>
      <c r="AY114" s="15"/>
      <c r="AZ114" s="15"/>
      <c r="BA114" s="15"/>
      <c r="BB114" s="15"/>
      <c r="BC114" s="15"/>
      <c r="BD114" s="15"/>
      <c r="BE114" s="15"/>
      <c r="BF114" s="15"/>
      <c r="BG114" s="15"/>
      <c r="BH114" s="15"/>
      <c r="BI114" s="15"/>
      <c r="BJ114" s="15"/>
      <c r="BK114" s="23"/>
      <c r="BL114" s="21"/>
    </row>
    <row r="115" spans="1:64" ht="19.5" customHeight="1" x14ac:dyDescent="0.25">
      <c r="A115" s="20"/>
      <c r="B115" s="20"/>
      <c r="C115" s="20"/>
      <c r="D115" s="20"/>
      <c r="E115" s="20"/>
      <c r="F115" s="20"/>
      <c r="G115" s="20"/>
      <c r="H115" s="20"/>
      <c r="I115" s="20"/>
      <c r="J115" s="20"/>
      <c r="K115" s="19"/>
      <c r="L115" s="24"/>
      <c r="M115" s="20"/>
      <c r="N115" s="20"/>
      <c r="O115" s="19"/>
      <c r="P115" s="23"/>
      <c r="Q115" s="23"/>
      <c r="R115" s="21"/>
      <c r="S115" s="23"/>
      <c r="T115" s="23"/>
      <c r="U115" s="23"/>
      <c r="V115" s="23"/>
      <c r="W115" s="23"/>
      <c r="X115" s="21"/>
      <c r="Y115" s="21"/>
      <c r="Z115" s="21"/>
      <c r="AA115" s="23"/>
      <c r="AB115" s="23"/>
      <c r="AC115" s="20"/>
      <c r="AD115" s="20"/>
      <c r="AE115" s="23"/>
      <c r="AF115" s="23"/>
      <c r="AG115" s="23"/>
      <c r="AH115" s="23"/>
      <c r="AI115" s="23"/>
      <c r="AJ115" s="23"/>
      <c r="AK115" s="23"/>
      <c r="AL115" s="15"/>
      <c r="AM115" s="23"/>
      <c r="AN115" s="23"/>
      <c r="AO115" s="23"/>
      <c r="AP115" s="20"/>
      <c r="AQ115" s="20"/>
      <c r="AR115" s="20"/>
      <c r="AS115" s="15"/>
      <c r="AT115" s="15"/>
      <c r="AU115" s="15"/>
      <c r="AV115" s="15"/>
      <c r="AW115" s="15"/>
      <c r="AX115" s="15"/>
      <c r="AY115" s="15"/>
      <c r="AZ115" s="15"/>
      <c r="BA115" s="15"/>
      <c r="BB115" s="15"/>
      <c r="BC115" s="15"/>
      <c r="BD115" s="15"/>
      <c r="BE115" s="15"/>
      <c r="BF115" s="15"/>
      <c r="BG115" s="15"/>
      <c r="BH115" s="15"/>
      <c r="BI115" s="15"/>
      <c r="BJ115" s="15"/>
      <c r="BK115" s="23"/>
      <c r="BL115" s="21"/>
    </row>
    <row r="116" spans="1:64" ht="19.5" customHeight="1" x14ac:dyDescent="0.25">
      <c r="A116" s="20"/>
      <c r="B116" s="20"/>
      <c r="C116" s="20"/>
      <c r="D116" s="20"/>
      <c r="E116" s="20"/>
      <c r="F116" s="20"/>
      <c r="G116" s="20"/>
      <c r="H116" s="20"/>
      <c r="I116" s="20"/>
      <c r="J116" s="20"/>
      <c r="K116" s="19"/>
      <c r="L116" s="24"/>
      <c r="M116" s="20"/>
      <c r="N116" s="20"/>
      <c r="O116" s="19"/>
      <c r="P116" s="23"/>
      <c r="Q116" s="23"/>
      <c r="R116" s="21"/>
      <c r="S116" s="23"/>
      <c r="T116" s="23"/>
      <c r="U116" s="23"/>
      <c r="V116" s="23"/>
      <c r="W116" s="23"/>
      <c r="X116" s="21"/>
      <c r="Y116" s="21"/>
      <c r="Z116" s="21"/>
      <c r="AA116" s="23"/>
      <c r="AB116" s="23"/>
      <c r="AC116" s="20"/>
      <c r="AD116" s="20"/>
      <c r="AE116" s="23"/>
      <c r="AF116" s="23"/>
      <c r="AG116" s="23"/>
      <c r="AH116" s="23"/>
      <c r="AI116" s="23"/>
      <c r="AJ116" s="23"/>
      <c r="AK116" s="23"/>
      <c r="AL116" s="15"/>
      <c r="AM116" s="23"/>
      <c r="AN116" s="23"/>
      <c r="AO116" s="23"/>
      <c r="AP116" s="20"/>
      <c r="AQ116" s="20"/>
      <c r="AR116" s="20"/>
      <c r="AS116" s="15"/>
      <c r="AT116" s="15"/>
      <c r="AU116" s="15"/>
      <c r="AV116" s="15"/>
      <c r="AW116" s="15"/>
      <c r="AX116" s="15"/>
      <c r="AY116" s="15"/>
      <c r="AZ116" s="15"/>
      <c r="BA116" s="15"/>
      <c r="BB116" s="15"/>
      <c r="BC116" s="15"/>
      <c r="BD116" s="15"/>
      <c r="BE116" s="15"/>
      <c r="BF116" s="15"/>
      <c r="BG116" s="15"/>
      <c r="BH116" s="15"/>
      <c r="BI116" s="15"/>
      <c r="BJ116" s="15"/>
      <c r="BK116" s="23"/>
      <c r="BL116" s="21"/>
    </row>
    <row r="117" spans="1:64" ht="19.5" customHeight="1" x14ac:dyDescent="0.25">
      <c r="A117" s="20"/>
      <c r="B117" s="20"/>
      <c r="C117" s="20"/>
      <c r="D117" s="20"/>
      <c r="E117" s="20"/>
      <c r="F117" s="20"/>
      <c r="G117" s="20"/>
      <c r="H117" s="20"/>
      <c r="I117" s="20"/>
      <c r="J117" s="20"/>
      <c r="K117" s="19"/>
      <c r="L117" s="24"/>
      <c r="M117" s="20"/>
      <c r="N117" s="20"/>
      <c r="O117" s="19"/>
      <c r="P117" s="23"/>
      <c r="Q117" s="23"/>
      <c r="R117" s="21"/>
      <c r="S117" s="23"/>
      <c r="T117" s="23"/>
      <c r="U117" s="23"/>
      <c r="V117" s="23"/>
      <c r="W117" s="23"/>
      <c r="X117" s="21"/>
      <c r="Y117" s="21"/>
      <c r="Z117" s="21"/>
      <c r="AA117" s="23"/>
      <c r="AB117" s="23"/>
      <c r="AC117" s="20"/>
      <c r="AD117" s="20"/>
      <c r="AE117" s="23"/>
      <c r="AF117" s="23"/>
      <c r="AG117" s="23"/>
      <c r="AH117" s="23"/>
      <c r="AI117" s="23"/>
      <c r="AJ117" s="23"/>
      <c r="AK117" s="23"/>
      <c r="AL117" s="15"/>
      <c r="AM117" s="23"/>
      <c r="AN117" s="23"/>
      <c r="AO117" s="23"/>
      <c r="AP117" s="20"/>
      <c r="AQ117" s="20"/>
      <c r="AR117" s="20"/>
      <c r="AS117" s="15"/>
      <c r="AT117" s="15"/>
      <c r="AU117" s="15"/>
      <c r="AV117" s="15"/>
      <c r="AW117" s="15"/>
      <c r="AX117" s="15"/>
      <c r="AY117" s="15"/>
      <c r="AZ117" s="15"/>
      <c r="BA117" s="15"/>
      <c r="BB117" s="15"/>
      <c r="BC117" s="15"/>
      <c r="BD117" s="15"/>
      <c r="BE117" s="15"/>
      <c r="BF117" s="15"/>
      <c r="BG117" s="15"/>
      <c r="BH117" s="15"/>
      <c r="BI117" s="15"/>
      <c r="BJ117" s="15"/>
      <c r="BK117" s="23"/>
      <c r="BL117" s="21"/>
    </row>
    <row r="118" spans="1:64" ht="19.5" customHeight="1" x14ac:dyDescent="0.25">
      <c r="A118" s="20"/>
      <c r="B118" s="20"/>
      <c r="C118" s="20"/>
      <c r="D118" s="20"/>
      <c r="E118" s="20"/>
      <c r="F118" s="20"/>
      <c r="G118" s="20"/>
      <c r="H118" s="20"/>
      <c r="I118" s="20"/>
      <c r="J118" s="20"/>
      <c r="K118" s="19"/>
      <c r="L118" s="24"/>
      <c r="M118" s="20"/>
      <c r="N118" s="20"/>
      <c r="O118" s="19"/>
      <c r="P118" s="23"/>
      <c r="Q118" s="23"/>
      <c r="R118" s="21"/>
      <c r="S118" s="23"/>
      <c r="T118" s="23"/>
      <c r="U118" s="23"/>
      <c r="V118" s="23"/>
      <c r="W118" s="23"/>
      <c r="X118" s="21"/>
      <c r="Y118" s="21"/>
      <c r="Z118" s="21"/>
      <c r="AA118" s="23"/>
      <c r="AB118" s="23"/>
      <c r="AC118" s="20"/>
      <c r="AD118" s="20"/>
      <c r="AE118" s="23"/>
      <c r="AF118" s="23"/>
      <c r="AG118" s="23"/>
      <c r="AH118" s="23"/>
      <c r="AI118" s="23"/>
      <c r="AJ118" s="23"/>
      <c r="AK118" s="23"/>
      <c r="AL118" s="15"/>
      <c r="AM118" s="23"/>
      <c r="AN118" s="23"/>
      <c r="AO118" s="23"/>
      <c r="AP118" s="20"/>
      <c r="AQ118" s="20"/>
      <c r="AR118" s="20"/>
      <c r="AS118" s="15"/>
      <c r="AT118" s="15"/>
      <c r="AU118" s="15"/>
      <c r="AV118" s="15"/>
      <c r="AW118" s="15"/>
      <c r="AX118" s="15"/>
      <c r="AY118" s="15"/>
      <c r="AZ118" s="15"/>
      <c r="BA118" s="15"/>
      <c r="BB118" s="15"/>
      <c r="BC118" s="15"/>
      <c r="BD118" s="15"/>
      <c r="BE118" s="15"/>
      <c r="BF118" s="15"/>
      <c r="BG118" s="15"/>
      <c r="BH118" s="15"/>
      <c r="BI118" s="15"/>
      <c r="BJ118" s="15"/>
      <c r="BK118" s="23"/>
      <c r="BL118" s="21"/>
    </row>
    <row r="119" spans="1:64" ht="19.5" customHeight="1" x14ac:dyDescent="0.25">
      <c r="A119" s="20"/>
      <c r="B119" s="20"/>
      <c r="C119" s="20"/>
      <c r="D119" s="20"/>
      <c r="E119" s="20"/>
      <c r="F119" s="20"/>
      <c r="G119" s="20"/>
      <c r="H119" s="20"/>
      <c r="I119" s="20"/>
      <c r="J119" s="20"/>
      <c r="K119" s="19"/>
      <c r="L119" s="24"/>
      <c r="M119" s="20"/>
      <c r="N119" s="20"/>
      <c r="O119" s="19"/>
      <c r="P119" s="23"/>
      <c r="Q119" s="23"/>
      <c r="R119" s="21"/>
      <c r="S119" s="23"/>
      <c r="T119" s="23"/>
      <c r="U119" s="23"/>
      <c r="V119" s="23"/>
      <c r="W119" s="23"/>
      <c r="X119" s="21"/>
      <c r="Y119" s="21"/>
      <c r="Z119" s="21"/>
      <c r="AA119" s="23"/>
      <c r="AB119" s="23"/>
      <c r="AC119" s="20"/>
      <c r="AD119" s="20"/>
      <c r="AE119" s="23"/>
      <c r="AF119" s="23"/>
      <c r="AG119" s="23"/>
      <c r="AH119" s="23"/>
      <c r="AI119" s="23"/>
      <c r="AJ119" s="23"/>
      <c r="AK119" s="23"/>
      <c r="AL119" s="15"/>
      <c r="AM119" s="23"/>
      <c r="AN119" s="23"/>
      <c r="AO119" s="23"/>
      <c r="AP119" s="20"/>
      <c r="AQ119" s="20"/>
      <c r="AR119" s="20"/>
      <c r="AS119" s="15"/>
      <c r="AT119" s="15"/>
      <c r="AU119" s="15"/>
      <c r="AV119" s="15"/>
      <c r="AW119" s="15"/>
      <c r="AX119" s="15"/>
      <c r="AY119" s="15"/>
      <c r="AZ119" s="15"/>
      <c r="BA119" s="15"/>
      <c r="BB119" s="15"/>
      <c r="BC119" s="15"/>
      <c r="BD119" s="15"/>
      <c r="BE119" s="15"/>
      <c r="BF119" s="15"/>
      <c r="BG119" s="15"/>
      <c r="BH119" s="15"/>
      <c r="BI119" s="15"/>
      <c r="BJ119" s="15"/>
      <c r="BK119" s="23"/>
      <c r="BL119" s="21"/>
    </row>
    <row r="120" spans="1:64" ht="19.5" customHeight="1" x14ac:dyDescent="0.25">
      <c r="A120" s="20"/>
      <c r="B120" s="20"/>
      <c r="C120" s="20"/>
      <c r="D120" s="20"/>
      <c r="E120" s="20"/>
      <c r="F120" s="20"/>
      <c r="G120" s="20"/>
      <c r="H120" s="20"/>
      <c r="I120" s="20"/>
      <c r="J120" s="20"/>
      <c r="K120" s="19"/>
      <c r="L120" s="24"/>
      <c r="M120" s="20"/>
      <c r="N120" s="20"/>
      <c r="O120" s="19"/>
      <c r="P120" s="23"/>
      <c r="Q120" s="23"/>
      <c r="R120" s="21"/>
      <c r="S120" s="23"/>
      <c r="T120" s="23"/>
      <c r="U120" s="23"/>
      <c r="V120" s="23"/>
      <c r="W120" s="23"/>
      <c r="X120" s="21"/>
      <c r="Y120" s="21"/>
      <c r="Z120" s="21"/>
      <c r="AA120" s="23"/>
      <c r="AB120" s="23"/>
      <c r="AC120" s="20"/>
      <c r="AD120" s="20"/>
      <c r="AE120" s="23"/>
      <c r="AF120" s="23"/>
      <c r="AG120" s="23"/>
      <c r="AH120" s="23"/>
      <c r="AI120" s="23"/>
      <c r="AJ120" s="23"/>
      <c r="AK120" s="23"/>
      <c r="AL120" s="15"/>
      <c r="AM120" s="23"/>
      <c r="AN120" s="23"/>
      <c r="AO120" s="23"/>
      <c r="AP120" s="20"/>
      <c r="AQ120" s="20"/>
      <c r="AR120" s="20"/>
      <c r="AS120" s="15"/>
      <c r="AT120" s="15"/>
      <c r="AU120" s="15"/>
      <c r="AV120" s="15"/>
      <c r="AW120" s="15"/>
      <c r="AX120" s="15"/>
      <c r="AY120" s="15"/>
      <c r="AZ120" s="15"/>
      <c r="BA120" s="15"/>
      <c r="BB120" s="15"/>
      <c r="BC120" s="15"/>
      <c r="BD120" s="15"/>
      <c r="BE120" s="15"/>
      <c r="BF120" s="15"/>
      <c r="BG120" s="15"/>
      <c r="BH120" s="15"/>
      <c r="BI120" s="15"/>
      <c r="BJ120" s="15"/>
      <c r="BK120" s="23"/>
      <c r="BL120" s="21"/>
    </row>
    <row r="121" spans="1:64" ht="19.5" customHeight="1" x14ac:dyDescent="0.25">
      <c r="A121" s="20"/>
      <c r="B121" s="20"/>
      <c r="C121" s="20"/>
      <c r="D121" s="20"/>
      <c r="E121" s="20"/>
      <c r="F121" s="20"/>
      <c r="G121" s="20"/>
      <c r="H121" s="20"/>
      <c r="I121" s="20"/>
      <c r="J121" s="20"/>
      <c r="K121" s="19"/>
      <c r="L121" s="24"/>
      <c r="M121" s="20"/>
      <c r="N121" s="20"/>
      <c r="O121" s="19"/>
      <c r="P121" s="23"/>
      <c r="Q121" s="23"/>
      <c r="R121" s="21"/>
      <c r="S121" s="23"/>
      <c r="T121" s="23"/>
      <c r="U121" s="23"/>
      <c r="V121" s="23"/>
      <c r="W121" s="23"/>
      <c r="X121" s="21"/>
      <c r="Y121" s="21"/>
      <c r="Z121" s="21"/>
      <c r="AA121" s="23"/>
      <c r="AB121" s="23"/>
      <c r="AC121" s="20"/>
      <c r="AD121" s="20"/>
      <c r="AE121" s="23"/>
      <c r="AF121" s="23"/>
      <c r="AG121" s="23"/>
      <c r="AH121" s="23"/>
      <c r="AI121" s="23"/>
      <c r="AJ121" s="23"/>
      <c r="AK121" s="23"/>
      <c r="AL121" s="15"/>
      <c r="AM121" s="23"/>
      <c r="AN121" s="23"/>
      <c r="AO121" s="23"/>
      <c r="AP121" s="20"/>
      <c r="AQ121" s="20"/>
      <c r="AR121" s="20"/>
      <c r="AS121" s="15"/>
      <c r="AT121" s="15"/>
      <c r="AU121" s="15"/>
      <c r="AV121" s="15"/>
      <c r="AW121" s="15"/>
      <c r="AX121" s="15"/>
      <c r="AY121" s="15"/>
      <c r="AZ121" s="15"/>
      <c r="BA121" s="15"/>
      <c r="BB121" s="15"/>
      <c r="BC121" s="15"/>
      <c r="BD121" s="15"/>
      <c r="BE121" s="15"/>
      <c r="BF121" s="15"/>
      <c r="BG121" s="15"/>
      <c r="BH121" s="15"/>
      <c r="BI121" s="15"/>
      <c r="BJ121" s="15"/>
      <c r="BK121" s="23"/>
      <c r="BL121" s="21"/>
    </row>
    <row r="122" spans="1:64" ht="19.5" customHeight="1" x14ac:dyDescent="0.25">
      <c r="A122" s="20"/>
      <c r="B122" s="20"/>
      <c r="C122" s="20"/>
      <c r="D122" s="20"/>
      <c r="E122" s="20"/>
      <c r="F122" s="20"/>
      <c r="G122" s="20"/>
      <c r="H122" s="20"/>
      <c r="I122" s="20"/>
      <c r="J122" s="20"/>
      <c r="K122" s="19"/>
      <c r="L122" s="24"/>
      <c r="M122" s="20"/>
      <c r="N122" s="20"/>
      <c r="O122" s="19"/>
      <c r="P122" s="23"/>
      <c r="Q122" s="23"/>
      <c r="R122" s="21"/>
      <c r="S122" s="23"/>
      <c r="T122" s="23"/>
      <c r="U122" s="23"/>
      <c r="V122" s="23"/>
      <c r="W122" s="23"/>
      <c r="X122" s="21"/>
      <c r="Y122" s="21"/>
      <c r="Z122" s="21"/>
      <c r="AA122" s="23"/>
      <c r="AB122" s="23"/>
      <c r="AC122" s="20"/>
      <c r="AD122" s="20"/>
      <c r="AE122" s="23"/>
      <c r="AF122" s="23"/>
      <c r="AG122" s="23"/>
      <c r="AH122" s="23"/>
      <c r="AI122" s="23"/>
      <c r="AJ122" s="23"/>
      <c r="AK122" s="23"/>
      <c r="AL122" s="15"/>
      <c r="AM122" s="23"/>
      <c r="AN122" s="23"/>
      <c r="AO122" s="23"/>
      <c r="AP122" s="20"/>
      <c r="AQ122" s="20"/>
      <c r="AR122" s="20"/>
      <c r="AS122" s="15"/>
      <c r="AT122" s="15"/>
      <c r="AU122" s="15"/>
      <c r="AV122" s="15"/>
      <c r="AW122" s="15"/>
      <c r="AX122" s="15"/>
      <c r="AY122" s="15"/>
      <c r="AZ122" s="15"/>
      <c r="BA122" s="15"/>
      <c r="BB122" s="15"/>
      <c r="BC122" s="15"/>
      <c r="BD122" s="15"/>
      <c r="BE122" s="15"/>
      <c r="BF122" s="15"/>
      <c r="BG122" s="15"/>
      <c r="BH122" s="15"/>
      <c r="BI122" s="15"/>
      <c r="BJ122" s="15"/>
      <c r="BK122" s="23"/>
      <c r="BL122" s="21"/>
    </row>
    <row r="123" spans="1:64" ht="19.5" customHeight="1" x14ac:dyDescent="0.25">
      <c r="A123" s="20"/>
      <c r="B123" s="20"/>
      <c r="C123" s="20"/>
      <c r="D123" s="20"/>
      <c r="E123" s="20"/>
      <c r="F123" s="20"/>
      <c r="G123" s="20"/>
      <c r="H123" s="20"/>
      <c r="I123" s="20"/>
      <c r="J123" s="20"/>
      <c r="K123" s="19"/>
      <c r="L123" s="24"/>
      <c r="M123" s="20"/>
      <c r="N123" s="20"/>
      <c r="O123" s="19"/>
      <c r="P123" s="23"/>
      <c r="Q123" s="23"/>
      <c r="R123" s="21"/>
      <c r="S123" s="23"/>
      <c r="T123" s="23"/>
      <c r="U123" s="23"/>
      <c r="V123" s="23"/>
      <c r="W123" s="23"/>
      <c r="X123" s="21"/>
      <c r="Y123" s="21"/>
      <c r="Z123" s="21"/>
      <c r="AA123" s="23"/>
      <c r="AB123" s="23"/>
      <c r="AC123" s="20"/>
      <c r="AD123" s="20"/>
      <c r="AE123" s="23"/>
      <c r="AF123" s="23"/>
      <c r="AG123" s="23"/>
      <c r="AH123" s="23"/>
      <c r="AI123" s="23"/>
      <c r="AJ123" s="23"/>
      <c r="AK123" s="23"/>
      <c r="AL123" s="15"/>
      <c r="AM123" s="23"/>
      <c r="AN123" s="23"/>
      <c r="AO123" s="23"/>
      <c r="AP123" s="20"/>
      <c r="AQ123" s="20"/>
      <c r="AR123" s="20"/>
      <c r="AS123" s="15"/>
      <c r="AT123" s="15"/>
      <c r="AU123" s="15"/>
      <c r="AV123" s="15"/>
      <c r="AW123" s="15"/>
      <c r="AX123" s="15"/>
      <c r="AY123" s="15"/>
      <c r="AZ123" s="15"/>
      <c r="BA123" s="15"/>
      <c r="BB123" s="15"/>
      <c r="BC123" s="15"/>
      <c r="BD123" s="15"/>
      <c r="BE123" s="15"/>
      <c r="BF123" s="15"/>
      <c r="BG123" s="15"/>
      <c r="BH123" s="15"/>
      <c r="BI123" s="15"/>
      <c r="BJ123" s="15"/>
      <c r="BK123" s="23"/>
      <c r="BL123" s="21"/>
    </row>
    <row r="124" spans="1:64" ht="19.5" customHeight="1" x14ac:dyDescent="0.25">
      <c r="A124" s="20"/>
      <c r="B124" s="20"/>
      <c r="C124" s="20"/>
      <c r="D124" s="20"/>
      <c r="E124" s="20"/>
      <c r="F124" s="20"/>
      <c r="G124" s="20"/>
      <c r="H124" s="20"/>
      <c r="I124" s="20"/>
      <c r="J124" s="20"/>
      <c r="K124" s="19"/>
      <c r="L124" s="24"/>
      <c r="M124" s="20"/>
      <c r="N124" s="20"/>
      <c r="O124" s="19"/>
      <c r="P124" s="23"/>
      <c r="Q124" s="23"/>
      <c r="R124" s="21"/>
      <c r="S124" s="23"/>
      <c r="T124" s="23"/>
      <c r="U124" s="23"/>
      <c r="V124" s="23"/>
      <c r="W124" s="23"/>
      <c r="X124" s="21"/>
      <c r="Y124" s="21"/>
      <c r="Z124" s="21"/>
      <c r="AA124" s="23"/>
      <c r="AB124" s="23"/>
      <c r="AC124" s="20"/>
      <c r="AD124" s="20"/>
      <c r="AE124" s="23"/>
      <c r="AF124" s="23"/>
      <c r="AG124" s="23"/>
      <c r="AH124" s="23"/>
      <c r="AI124" s="23"/>
      <c r="AJ124" s="23"/>
      <c r="AK124" s="23"/>
      <c r="AL124" s="15"/>
      <c r="AM124" s="23"/>
      <c r="AN124" s="23"/>
      <c r="AO124" s="23"/>
      <c r="AP124" s="20"/>
      <c r="AQ124" s="20"/>
      <c r="AR124" s="20"/>
      <c r="AS124" s="15"/>
      <c r="AT124" s="15"/>
      <c r="AU124" s="15"/>
      <c r="AV124" s="15"/>
      <c r="AW124" s="15"/>
      <c r="AX124" s="15"/>
      <c r="AY124" s="15"/>
      <c r="AZ124" s="15"/>
      <c r="BA124" s="15"/>
      <c r="BB124" s="15"/>
      <c r="BC124" s="15"/>
      <c r="BD124" s="15"/>
      <c r="BE124" s="15"/>
      <c r="BF124" s="15"/>
      <c r="BG124" s="15"/>
      <c r="BH124" s="15"/>
      <c r="BI124" s="15"/>
      <c r="BJ124" s="15"/>
      <c r="BK124" s="23"/>
      <c r="BL124" s="21"/>
    </row>
    <row r="125" spans="1:64" ht="19.5" customHeight="1" x14ac:dyDescent="0.25">
      <c r="A125" s="20"/>
      <c r="B125" s="20"/>
      <c r="C125" s="20"/>
      <c r="D125" s="20"/>
      <c r="E125" s="20"/>
      <c r="F125" s="20"/>
      <c r="G125" s="20"/>
      <c r="H125" s="20"/>
      <c r="I125" s="20"/>
      <c r="J125" s="20"/>
      <c r="K125" s="19"/>
      <c r="L125" s="24"/>
      <c r="M125" s="20"/>
      <c r="N125" s="20"/>
      <c r="O125" s="19"/>
      <c r="P125" s="23"/>
      <c r="Q125" s="23"/>
      <c r="R125" s="21"/>
      <c r="S125" s="23"/>
      <c r="T125" s="23"/>
      <c r="U125" s="23"/>
      <c r="V125" s="23"/>
      <c r="W125" s="23"/>
      <c r="X125" s="21"/>
      <c r="Y125" s="21"/>
      <c r="Z125" s="21"/>
      <c r="AA125" s="23"/>
      <c r="AB125" s="23"/>
      <c r="AC125" s="20"/>
      <c r="AD125" s="20"/>
      <c r="AE125" s="23"/>
      <c r="AF125" s="23"/>
      <c r="AG125" s="23"/>
      <c r="AH125" s="23"/>
      <c r="AI125" s="23"/>
      <c r="AJ125" s="23"/>
      <c r="AK125" s="23"/>
      <c r="AL125" s="15"/>
      <c r="AM125" s="23"/>
      <c r="AN125" s="23"/>
      <c r="AO125" s="23"/>
      <c r="AP125" s="20"/>
      <c r="AQ125" s="20"/>
      <c r="AR125" s="20"/>
      <c r="AS125" s="15"/>
      <c r="AT125" s="15"/>
      <c r="AU125" s="15"/>
      <c r="AV125" s="15"/>
      <c r="AW125" s="15"/>
      <c r="AX125" s="15"/>
      <c r="AY125" s="15"/>
      <c r="AZ125" s="15"/>
      <c r="BA125" s="15"/>
      <c r="BB125" s="15"/>
      <c r="BC125" s="15"/>
      <c r="BD125" s="15"/>
      <c r="BE125" s="15"/>
      <c r="BF125" s="15"/>
      <c r="BG125" s="15"/>
      <c r="BH125" s="15"/>
      <c r="BI125" s="15"/>
      <c r="BJ125" s="15"/>
      <c r="BK125" s="23"/>
      <c r="BL125" s="21"/>
    </row>
    <row r="126" spans="1:64" ht="19.5" customHeight="1" x14ac:dyDescent="0.25">
      <c r="A126" s="20"/>
      <c r="B126" s="20"/>
      <c r="C126" s="20"/>
      <c r="D126" s="20"/>
      <c r="E126" s="20"/>
      <c r="F126" s="20"/>
      <c r="G126" s="20"/>
      <c r="H126" s="20"/>
      <c r="I126" s="20"/>
      <c r="J126" s="20"/>
      <c r="K126" s="19"/>
      <c r="L126" s="24"/>
      <c r="M126" s="20"/>
      <c r="N126" s="20"/>
      <c r="O126" s="19"/>
      <c r="P126" s="23"/>
      <c r="Q126" s="23"/>
      <c r="R126" s="21"/>
      <c r="S126" s="23"/>
      <c r="T126" s="23"/>
      <c r="U126" s="23"/>
      <c r="V126" s="23"/>
      <c r="W126" s="23"/>
      <c r="X126" s="21"/>
      <c r="Y126" s="21"/>
      <c r="Z126" s="21"/>
      <c r="AA126" s="23"/>
      <c r="AB126" s="23"/>
      <c r="AC126" s="20"/>
      <c r="AD126" s="20"/>
      <c r="AE126" s="23"/>
      <c r="AF126" s="23"/>
      <c r="AG126" s="23"/>
      <c r="AH126" s="23"/>
      <c r="AI126" s="23"/>
      <c r="AJ126" s="23"/>
      <c r="AK126" s="23"/>
      <c r="AL126" s="15"/>
      <c r="AM126" s="23"/>
      <c r="AN126" s="23"/>
      <c r="AO126" s="23"/>
      <c r="AP126" s="20"/>
      <c r="AQ126" s="20"/>
      <c r="AR126" s="20"/>
      <c r="AS126" s="15"/>
      <c r="AT126" s="15"/>
      <c r="AU126" s="15"/>
      <c r="AV126" s="15"/>
      <c r="AW126" s="15"/>
      <c r="AX126" s="15"/>
      <c r="AY126" s="15"/>
      <c r="AZ126" s="15"/>
      <c r="BA126" s="15"/>
      <c r="BB126" s="15"/>
      <c r="BC126" s="15"/>
      <c r="BD126" s="15"/>
      <c r="BE126" s="15"/>
      <c r="BF126" s="15"/>
      <c r="BG126" s="15"/>
      <c r="BH126" s="15"/>
      <c r="BI126" s="15"/>
      <c r="BJ126" s="15"/>
      <c r="BK126" s="23"/>
      <c r="BL126" s="21"/>
    </row>
    <row r="127" spans="1:64" ht="19.5" customHeight="1" x14ac:dyDescent="0.25">
      <c r="A127" s="20"/>
      <c r="B127" s="20"/>
      <c r="C127" s="20"/>
      <c r="D127" s="20"/>
      <c r="E127" s="20"/>
      <c r="F127" s="20"/>
      <c r="G127" s="20"/>
      <c r="H127" s="20"/>
      <c r="I127" s="20"/>
      <c r="J127" s="20"/>
      <c r="K127" s="19"/>
      <c r="L127" s="24"/>
      <c r="M127" s="20"/>
      <c r="N127" s="20"/>
      <c r="O127" s="19"/>
      <c r="P127" s="23"/>
      <c r="Q127" s="23"/>
      <c r="R127" s="21"/>
      <c r="S127" s="23"/>
      <c r="T127" s="23"/>
      <c r="U127" s="23"/>
      <c r="V127" s="23"/>
      <c r="W127" s="23"/>
      <c r="X127" s="21"/>
      <c r="Y127" s="21"/>
      <c r="Z127" s="21"/>
      <c r="AA127" s="23"/>
      <c r="AB127" s="23"/>
      <c r="AC127" s="20"/>
      <c r="AD127" s="20"/>
      <c r="AE127" s="23"/>
      <c r="AF127" s="23"/>
      <c r="AG127" s="23"/>
      <c r="AH127" s="23"/>
      <c r="AI127" s="23"/>
      <c r="AJ127" s="23"/>
      <c r="AK127" s="23"/>
      <c r="AL127" s="15"/>
      <c r="AM127" s="23"/>
      <c r="AN127" s="23"/>
      <c r="AO127" s="23"/>
      <c r="AP127" s="20"/>
      <c r="AQ127" s="20"/>
      <c r="AR127" s="20"/>
      <c r="AS127" s="15"/>
      <c r="AT127" s="15"/>
      <c r="AU127" s="15"/>
      <c r="AV127" s="15"/>
      <c r="AW127" s="15"/>
      <c r="AX127" s="15"/>
      <c r="AY127" s="15"/>
      <c r="AZ127" s="15"/>
      <c r="BA127" s="15"/>
      <c r="BB127" s="15"/>
      <c r="BC127" s="15"/>
      <c r="BD127" s="15"/>
      <c r="BE127" s="15"/>
      <c r="BF127" s="15"/>
      <c r="BG127" s="15"/>
      <c r="BH127" s="15"/>
      <c r="BI127" s="15"/>
      <c r="BJ127" s="15"/>
      <c r="BK127" s="23"/>
      <c r="BL127" s="21"/>
    </row>
    <row r="128" spans="1:64" ht="19.5" customHeight="1" x14ac:dyDescent="0.25">
      <c r="A128" s="20"/>
      <c r="B128" s="20"/>
      <c r="C128" s="20"/>
      <c r="D128" s="20"/>
      <c r="E128" s="20"/>
      <c r="F128" s="20"/>
      <c r="G128" s="20"/>
      <c r="H128" s="20"/>
      <c r="I128" s="20"/>
      <c r="J128" s="20"/>
      <c r="K128" s="19"/>
      <c r="L128" s="24"/>
      <c r="M128" s="20"/>
      <c r="N128" s="20"/>
      <c r="O128" s="19"/>
      <c r="P128" s="23"/>
      <c r="Q128" s="23"/>
      <c r="R128" s="21"/>
      <c r="S128" s="23"/>
      <c r="T128" s="23"/>
      <c r="U128" s="23"/>
      <c r="V128" s="23"/>
      <c r="W128" s="23"/>
      <c r="X128" s="21"/>
      <c r="Y128" s="21"/>
      <c r="Z128" s="21"/>
      <c r="AA128" s="23"/>
      <c r="AB128" s="23"/>
      <c r="AC128" s="20"/>
      <c r="AD128" s="20"/>
      <c r="AE128" s="23"/>
      <c r="AF128" s="23"/>
      <c r="AG128" s="23"/>
      <c r="AH128" s="23"/>
      <c r="AI128" s="23"/>
      <c r="AJ128" s="23"/>
      <c r="AK128" s="23"/>
      <c r="AL128" s="15"/>
      <c r="AM128" s="23"/>
      <c r="AN128" s="23"/>
      <c r="AO128" s="23"/>
      <c r="AP128" s="20"/>
      <c r="AQ128" s="20"/>
      <c r="AR128" s="20"/>
      <c r="AS128" s="15"/>
      <c r="AT128" s="15"/>
      <c r="AU128" s="15"/>
      <c r="AV128" s="15"/>
      <c r="AW128" s="15"/>
      <c r="AX128" s="15"/>
      <c r="AY128" s="15"/>
      <c r="AZ128" s="15"/>
      <c r="BA128" s="15"/>
      <c r="BB128" s="15"/>
      <c r="BC128" s="15"/>
      <c r="BD128" s="15"/>
      <c r="BE128" s="15"/>
      <c r="BF128" s="15"/>
      <c r="BG128" s="15"/>
      <c r="BH128" s="15"/>
      <c r="BI128" s="15"/>
      <c r="BJ128" s="15"/>
      <c r="BK128" s="23"/>
      <c r="BL128" s="21"/>
    </row>
    <row r="129" spans="1:64" ht="19.5" customHeight="1" x14ac:dyDescent="0.25">
      <c r="A129" s="20"/>
      <c r="B129" s="20"/>
      <c r="C129" s="20"/>
      <c r="D129" s="20"/>
      <c r="E129" s="20"/>
      <c r="F129" s="20"/>
      <c r="G129" s="20"/>
      <c r="H129" s="20"/>
      <c r="I129" s="20"/>
      <c r="J129" s="20"/>
      <c r="K129" s="19"/>
      <c r="L129" s="24"/>
      <c r="M129" s="20"/>
      <c r="N129" s="20"/>
      <c r="O129" s="19"/>
      <c r="P129" s="23"/>
      <c r="Q129" s="23"/>
      <c r="R129" s="21"/>
      <c r="S129" s="23"/>
      <c r="T129" s="23"/>
      <c r="U129" s="23"/>
      <c r="V129" s="23"/>
      <c r="W129" s="23"/>
      <c r="X129" s="21"/>
      <c r="Y129" s="21"/>
      <c r="Z129" s="21"/>
      <c r="AA129" s="23"/>
      <c r="AB129" s="23"/>
      <c r="AC129" s="20"/>
      <c r="AD129" s="20"/>
      <c r="AE129" s="23"/>
      <c r="AF129" s="23"/>
      <c r="AG129" s="23"/>
      <c r="AH129" s="23"/>
      <c r="AI129" s="23"/>
      <c r="AJ129" s="23"/>
      <c r="AK129" s="23"/>
      <c r="AL129" s="15"/>
      <c r="AM129" s="23"/>
      <c r="AN129" s="23"/>
      <c r="AO129" s="23"/>
      <c r="AP129" s="20"/>
      <c r="AQ129" s="20"/>
      <c r="AR129" s="20"/>
      <c r="AS129" s="15"/>
      <c r="AT129" s="15"/>
      <c r="AU129" s="15"/>
      <c r="AV129" s="15"/>
      <c r="AW129" s="15"/>
      <c r="AX129" s="15"/>
      <c r="AY129" s="15"/>
      <c r="AZ129" s="15"/>
      <c r="BA129" s="15"/>
      <c r="BB129" s="15"/>
      <c r="BC129" s="15"/>
      <c r="BD129" s="15"/>
      <c r="BE129" s="15"/>
      <c r="BF129" s="15"/>
      <c r="BG129" s="15"/>
      <c r="BH129" s="15"/>
      <c r="BI129" s="15"/>
      <c r="BJ129" s="15"/>
      <c r="BK129" s="23"/>
      <c r="BL129" s="21"/>
    </row>
    <row r="130" spans="1:64" ht="19.5" customHeight="1" x14ac:dyDescent="0.25">
      <c r="A130" s="20"/>
      <c r="B130" s="20"/>
      <c r="C130" s="20"/>
      <c r="D130" s="20"/>
      <c r="E130" s="20"/>
      <c r="F130" s="20"/>
      <c r="G130" s="20"/>
      <c r="H130" s="20"/>
      <c r="I130" s="20"/>
      <c r="J130" s="20"/>
      <c r="K130" s="19"/>
      <c r="L130" s="24"/>
      <c r="M130" s="20"/>
      <c r="N130" s="20"/>
      <c r="O130" s="19"/>
      <c r="P130" s="23"/>
      <c r="Q130" s="23"/>
      <c r="R130" s="21"/>
      <c r="S130" s="23"/>
      <c r="T130" s="23"/>
      <c r="U130" s="23"/>
      <c r="V130" s="23"/>
      <c r="W130" s="23"/>
      <c r="X130" s="21"/>
      <c r="Y130" s="21"/>
      <c r="Z130" s="21"/>
      <c r="AA130" s="23"/>
      <c r="AB130" s="23"/>
      <c r="AC130" s="20"/>
      <c r="AD130" s="20"/>
      <c r="AE130" s="23"/>
      <c r="AF130" s="23"/>
      <c r="AG130" s="23"/>
      <c r="AH130" s="23"/>
      <c r="AI130" s="23"/>
      <c r="AJ130" s="23"/>
      <c r="AK130" s="23"/>
      <c r="AL130" s="15"/>
      <c r="AM130" s="23"/>
      <c r="AN130" s="23"/>
      <c r="AO130" s="23"/>
      <c r="AP130" s="20"/>
      <c r="AQ130" s="20"/>
      <c r="AR130" s="20"/>
      <c r="AS130" s="15"/>
      <c r="AT130" s="15"/>
      <c r="AU130" s="15"/>
      <c r="AV130" s="15"/>
      <c r="AW130" s="15"/>
      <c r="AX130" s="15"/>
      <c r="AY130" s="15"/>
      <c r="AZ130" s="15"/>
      <c r="BA130" s="15"/>
      <c r="BB130" s="15"/>
      <c r="BC130" s="15"/>
      <c r="BD130" s="15"/>
      <c r="BE130" s="15"/>
      <c r="BF130" s="15"/>
      <c r="BG130" s="15"/>
      <c r="BH130" s="15"/>
      <c r="BI130" s="15"/>
      <c r="BJ130" s="15"/>
      <c r="BK130" s="23"/>
      <c r="BL130" s="21"/>
    </row>
    <row r="131" spans="1:64" ht="19.5" customHeight="1" x14ac:dyDescent="0.25">
      <c r="A131" s="20"/>
      <c r="B131" s="20"/>
      <c r="C131" s="20"/>
      <c r="D131" s="20"/>
      <c r="E131" s="20"/>
      <c r="F131" s="20"/>
      <c r="G131" s="20"/>
      <c r="H131" s="20"/>
      <c r="I131" s="20"/>
      <c r="J131" s="20"/>
      <c r="K131" s="19"/>
      <c r="L131" s="24"/>
      <c r="M131" s="20"/>
      <c r="N131" s="20"/>
      <c r="O131" s="19"/>
      <c r="P131" s="23"/>
      <c r="Q131" s="23"/>
      <c r="R131" s="21"/>
      <c r="S131" s="23"/>
      <c r="T131" s="23"/>
      <c r="U131" s="23"/>
      <c r="V131" s="23"/>
      <c r="W131" s="23"/>
      <c r="X131" s="21"/>
      <c r="Y131" s="21"/>
      <c r="Z131" s="21"/>
      <c r="AA131" s="23"/>
      <c r="AB131" s="23"/>
      <c r="AC131" s="20"/>
      <c r="AD131" s="20"/>
      <c r="AE131" s="23"/>
      <c r="AF131" s="23"/>
      <c r="AG131" s="23"/>
      <c r="AH131" s="23"/>
      <c r="AI131" s="23"/>
      <c r="AJ131" s="23"/>
      <c r="AK131" s="23"/>
      <c r="AL131" s="15"/>
      <c r="AM131" s="23"/>
      <c r="AN131" s="23"/>
      <c r="AO131" s="23"/>
      <c r="AP131" s="20"/>
      <c r="AQ131" s="20"/>
      <c r="AR131" s="20"/>
      <c r="AS131" s="15"/>
      <c r="AT131" s="15"/>
      <c r="AU131" s="15"/>
      <c r="AV131" s="15"/>
      <c r="AW131" s="15"/>
      <c r="AX131" s="15"/>
      <c r="AY131" s="15"/>
      <c r="AZ131" s="15"/>
      <c r="BA131" s="15"/>
      <c r="BB131" s="15"/>
      <c r="BC131" s="15"/>
      <c r="BD131" s="15"/>
      <c r="BE131" s="15"/>
      <c r="BF131" s="15"/>
      <c r="BG131" s="15"/>
      <c r="BH131" s="15"/>
      <c r="BI131" s="15"/>
      <c r="BJ131" s="15"/>
      <c r="BK131" s="23"/>
      <c r="BL131" s="21"/>
    </row>
    <row r="132" spans="1:64" ht="19.5" customHeight="1" x14ac:dyDescent="0.25">
      <c r="A132" s="20"/>
      <c r="B132" s="20"/>
      <c r="C132" s="20"/>
      <c r="D132" s="20"/>
      <c r="E132" s="20"/>
      <c r="F132" s="20"/>
      <c r="G132" s="20"/>
      <c r="H132" s="20"/>
      <c r="I132" s="20"/>
      <c r="J132" s="20"/>
      <c r="K132" s="19"/>
      <c r="L132" s="24"/>
      <c r="M132" s="20"/>
      <c r="N132" s="20"/>
      <c r="O132" s="19"/>
      <c r="P132" s="23"/>
      <c r="Q132" s="23"/>
      <c r="R132" s="21"/>
      <c r="S132" s="23"/>
      <c r="T132" s="23"/>
      <c r="U132" s="23"/>
      <c r="V132" s="23"/>
      <c r="W132" s="23"/>
      <c r="X132" s="21"/>
      <c r="Y132" s="21"/>
      <c r="Z132" s="21"/>
      <c r="AA132" s="23"/>
      <c r="AB132" s="23"/>
      <c r="AC132" s="20"/>
      <c r="AD132" s="20"/>
      <c r="AE132" s="23"/>
      <c r="AF132" s="23"/>
      <c r="AG132" s="23"/>
      <c r="AH132" s="23"/>
      <c r="AI132" s="23"/>
      <c r="AJ132" s="23"/>
      <c r="AK132" s="23"/>
      <c r="AL132" s="15"/>
      <c r="AM132" s="23"/>
      <c r="AN132" s="23"/>
      <c r="AO132" s="23"/>
      <c r="AP132" s="20"/>
      <c r="AQ132" s="20"/>
      <c r="AR132" s="20"/>
      <c r="AS132" s="15"/>
      <c r="AT132" s="15"/>
      <c r="AU132" s="15"/>
      <c r="AV132" s="15"/>
      <c r="AW132" s="15"/>
      <c r="AX132" s="15"/>
      <c r="AY132" s="15"/>
      <c r="AZ132" s="15"/>
      <c r="BA132" s="15"/>
      <c r="BB132" s="15"/>
      <c r="BC132" s="15"/>
      <c r="BD132" s="15"/>
      <c r="BE132" s="15"/>
      <c r="BF132" s="15"/>
      <c r="BG132" s="15"/>
      <c r="BH132" s="15"/>
      <c r="BI132" s="15"/>
      <c r="BJ132" s="15"/>
      <c r="BK132" s="23"/>
      <c r="BL132" s="21"/>
    </row>
    <row r="133" spans="1:64" ht="19.5" customHeight="1" x14ac:dyDescent="0.25">
      <c r="A133" s="20"/>
      <c r="B133" s="20"/>
      <c r="C133" s="20"/>
      <c r="D133" s="20"/>
      <c r="E133" s="20"/>
      <c r="F133" s="20"/>
      <c r="G133" s="20"/>
      <c r="H133" s="20"/>
      <c r="I133" s="20"/>
      <c r="J133" s="20"/>
      <c r="K133" s="19"/>
      <c r="L133" s="24"/>
      <c r="M133" s="20"/>
      <c r="N133" s="20"/>
      <c r="O133" s="19"/>
      <c r="P133" s="23"/>
      <c r="Q133" s="23"/>
      <c r="R133" s="21"/>
      <c r="S133" s="23"/>
      <c r="T133" s="23"/>
      <c r="U133" s="23"/>
      <c r="V133" s="23"/>
      <c r="W133" s="23"/>
      <c r="X133" s="21"/>
      <c r="Y133" s="21"/>
      <c r="Z133" s="21"/>
      <c r="AA133" s="23"/>
      <c r="AB133" s="23"/>
      <c r="AC133" s="20"/>
      <c r="AD133" s="20"/>
      <c r="AE133" s="23"/>
      <c r="AF133" s="23"/>
      <c r="AG133" s="23"/>
      <c r="AH133" s="23"/>
      <c r="AI133" s="23"/>
      <c r="AJ133" s="23"/>
      <c r="AK133" s="23"/>
      <c r="AL133" s="15"/>
      <c r="AM133" s="23"/>
      <c r="AN133" s="23"/>
      <c r="AO133" s="23"/>
      <c r="AP133" s="20"/>
      <c r="AQ133" s="20"/>
      <c r="AR133" s="20"/>
      <c r="AS133" s="15"/>
      <c r="AT133" s="15"/>
      <c r="AU133" s="15"/>
      <c r="AV133" s="15"/>
      <c r="AW133" s="15"/>
      <c r="AX133" s="15"/>
      <c r="AY133" s="15"/>
      <c r="AZ133" s="15"/>
      <c r="BA133" s="15"/>
      <c r="BB133" s="15"/>
      <c r="BC133" s="15"/>
      <c r="BD133" s="15"/>
      <c r="BE133" s="15"/>
      <c r="BF133" s="15"/>
      <c r="BG133" s="15"/>
      <c r="BH133" s="15"/>
      <c r="BI133" s="15"/>
      <c r="BJ133" s="15"/>
      <c r="BK133" s="23"/>
      <c r="BL133" s="21"/>
    </row>
    <row r="134" spans="1:64" ht="19.5" customHeight="1" x14ac:dyDescent="0.25">
      <c r="A134" s="20"/>
      <c r="B134" s="20"/>
      <c r="C134" s="20"/>
      <c r="D134" s="20"/>
      <c r="E134" s="20"/>
      <c r="F134" s="20"/>
      <c r="G134" s="20"/>
      <c r="H134" s="20"/>
      <c r="I134" s="20"/>
      <c r="J134" s="20"/>
      <c r="K134" s="19"/>
      <c r="L134" s="24"/>
      <c r="M134" s="20"/>
      <c r="N134" s="20"/>
      <c r="O134" s="19"/>
      <c r="P134" s="23"/>
      <c r="Q134" s="23"/>
      <c r="R134" s="21"/>
      <c r="S134" s="23"/>
      <c r="T134" s="23"/>
      <c r="U134" s="23"/>
      <c r="V134" s="23"/>
      <c r="W134" s="23"/>
      <c r="X134" s="21"/>
      <c r="Y134" s="21"/>
      <c r="Z134" s="21"/>
      <c r="AA134" s="23"/>
      <c r="AB134" s="23"/>
      <c r="AC134" s="20"/>
      <c r="AD134" s="20"/>
      <c r="AE134" s="23"/>
      <c r="AF134" s="23"/>
      <c r="AG134" s="23"/>
      <c r="AH134" s="23"/>
      <c r="AI134" s="23"/>
      <c r="AJ134" s="23"/>
      <c r="AK134" s="23"/>
      <c r="AL134" s="15"/>
      <c r="AM134" s="23"/>
      <c r="AN134" s="23"/>
      <c r="AO134" s="23"/>
      <c r="AP134" s="20"/>
      <c r="AQ134" s="20"/>
      <c r="AR134" s="20"/>
      <c r="AS134" s="15"/>
      <c r="AT134" s="15"/>
      <c r="AU134" s="15"/>
      <c r="AV134" s="15"/>
      <c r="AW134" s="15"/>
      <c r="AX134" s="15"/>
      <c r="AY134" s="15"/>
      <c r="AZ134" s="15"/>
      <c r="BA134" s="15"/>
      <c r="BB134" s="15"/>
      <c r="BC134" s="15"/>
      <c r="BD134" s="15"/>
      <c r="BE134" s="15"/>
      <c r="BF134" s="15"/>
      <c r="BG134" s="15"/>
      <c r="BH134" s="15"/>
      <c r="BI134" s="15"/>
      <c r="BJ134" s="15"/>
      <c r="BK134" s="23"/>
      <c r="BL134" s="21"/>
    </row>
    <row r="135" spans="1:64" ht="19.5" customHeight="1" x14ac:dyDescent="0.25">
      <c r="A135" s="20"/>
      <c r="B135" s="20"/>
      <c r="C135" s="20"/>
      <c r="D135" s="20"/>
      <c r="E135" s="20"/>
      <c r="F135" s="20"/>
      <c r="G135" s="20"/>
      <c r="H135" s="20"/>
      <c r="I135" s="20"/>
      <c r="J135" s="20"/>
      <c r="K135" s="19"/>
      <c r="L135" s="24"/>
      <c r="M135" s="20"/>
      <c r="N135" s="20"/>
      <c r="O135" s="19"/>
      <c r="P135" s="23"/>
      <c r="Q135" s="23"/>
      <c r="R135" s="21"/>
      <c r="S135" s="23"/>
      <c r="T135" s="23"/>
      <c r="U135" s="23"/>
      <c r="V135" s="23"/>
      <c r="W135" s="23"/>
      <c r="X135" s="21"/>
      <c r="Y135" s="21"/>
      <c r="Z135" s="21"/>
      <c r="AA135" s="23"/>
      <c r="AB135" s="23"/>
      <c r="AC135" s="20"/>
      <c r="AD135" s="20"/>
      <c r="AE135" s="23"/>
      <c r="AF135" s="23"/>
      <c r="AG135" s="23"/>
      <c r="AH135" s="23"/>
      <c r="AI135" s="23"/>
      <c r="AJ135" s="23"/>
      <c r="AK135" s="23"/>
      <c r="AL135" s="15"/>
      <c r="AM135" s="23"/>
      <c r="AN135" s="23"/>
      <c r="AO135" s="23"/>
      <c r="AP135" s="20"/>
      <c r="AQ135" s="20"/>
      <c r="AR135" s="20"/>
      <c r="AS135" s="15"/>
      <c r="AT135" s="15"/>
      <c r="AU135" s="15"/>
      <c r="AV135" s="15"/>
      <c r="AW135" s="15"/>
      <c r="AX135" s="15"/>
      <c r="AY135" s="15"/>
      <c r="AZ135" s="15"/>
      <c r="BA135" s="15"/>
      <c r="BB135" s="15"/>
      <c r="BC135" s="15"/>
      <c r="BD135" s="15"/>
      <c r="BE135" s="15"/>
      <c r="BF135" s="15"/>
      <c r="BG135" s="15"/>
      <c r="BH135" s="15"/>
      <c r="BI135" s="15"/>
      <c r="BJ135" s="15"/>
      <c r="BK135" s="23"/>
      <c r="BL135" s="21"/>
    </row>
    <row r="136" spans="1:64" ht="19.5" customHeight="1" x14ac:dyDescent="0.25">
      <c r="A136" s="20"/>
      <c r="B136" s="20"/>
      <c r="C136" s="20"/>
      <c r="D136" s="20"/>
      <c r="E136" s="20"/>
      <c r="F136" s="20"/>
      <c r="G136" s="20"/>
      <c r="H136" s="20"/>
      <c r="I136" s="20"/>
      <c r="J136" s="20"/>
      <c r="K136" s="19"/>
      <c r="L136" s="24"/>
      <c r="M136" s="20"/>
      <c r="N136" s="20"/>
      <c r="O136" s="19"/>
      <c r="P136" s="23"/>
      <c r="Q136" s="23"/>
      <c r="R136" s="21"/>
      <c r="S136" s="23"/>
      <c r="T136" s="23"/>
      <c r="U136" s="23"/>
      <c r="V136" s="23"/>
      <c r="W136" s="23"/>
      <c r="X136" s="21"/>
      <c r="Y136" s="21"/>
      <c r="Z136" s="21"/>
      <c r="AA136" s="23"/>
      <c r="AB136" s="23"/>
      <c r="AC136" s="20"/>
      <c r="AD136" s="20"/>
      <c r="AE136" s="23"/>
      <c r="AF136" s="23"/>
      <c r="AG136" s="23"/>
      <c r="AH136" s="23"/>
      <c r="AI136" s="23"/>
      <c r="AJ136" s="23"/>
      <c r="AK136" s="23"/>
      <c r="AL136" s="15"/>
      <c r="AM136" s="23"/>
      <c r="AN136" s="23"/>
      <c r="AO136" s="23"/>
      <c r="AP136" s="20"/>
      <c r="AQ136" s="20"/>
      <c r="AR136" s="20"/>
      <c r="AS136" s="15"/>
      <c r="AT136" s="15"/>
      <c r="AU136" s="15"/>
      <c r="AV136" s="15"/>
      <c r="AW136" s="15"/>
      <c r="AX136" s="15"/>
      <c r="AY136" s="15"/>
      <c r="AZ136" s="15"/>
      <c r="BA136" s="15"/>
      <c r="BB136" s="15"/>
      <c r="BC136" s="15"/>
      <c r="BD136" s="15"/>
      <c r="BE136" s="15"/>
      <c r="BF136" s="15"/>
      <c r="BG136" s="15"/>
      <c r="BH136" s="15"/>
      <c r="BI136" s="15"/>
      <c r="BJ136" s="15"/>
      <c r="BK136" s="23"/>
      <c r="BL136" s="21"/>
    </row>
    <row r="137" spans="1:64" ht="19.5" customHeight="1" x14ac:dyDescent="0.25">
      <c r="A137" s="20"/>
      <c r="B137" s="20"/>
      <c r="C137" s="20"/>
      <c r="D137" s="20"/>
      <c r="E137" s="20"/>
      <c r="F137" s="20"/>
      <c r="G137" s="20"/>
      <c r="H137" s="20"/>
      <c r="I137" s="20"/>
      <c r="J137" s="20"/>
      <c r="K137" s="19"/>
      <c r="L137" s="24"/>
      <c r="M137" s="20"/>
      <c r="N137" s="20"/>
      <c r="O137" s="19"/>
      <c r="P137" s="23"/>
      <c r="Q137" s="23"/>
      <c r="R137" s="21"/>
      <c r="S137" s="23"/>
      <c r="T137" s="23"/>
      <c r="U137" s="23"/>
      <c r="V137" s="23"/>
      <c r="W137" s="23"/>
      <c r="X137" s="21"/>
      <c r="Y137" s="21"/>
      <c r="Z137" s="21"/>
      <c r="AA137" s="23"/>
      <c r="AB137" s="23"/>
      <c r="AC137" s="20"/>
      <c r="AD137" s="20"/>
      <c r="AE137" s="23"/>
      <c r="AF137" s="23"/>
      <c r="AG137" s="23"/>
      <c r="AH137" s="23"/>
      <c r="AI137" s="23"/>
      <c r="AJ137" s="23"/>
      <c r="AK137" s="23"/>
      <c r="AL137" s="15"/>
      <c r="AM137" s="23"/>
      <c r="AN137" s="23"/>
      <c r="AO137" s="23"/>
      <c r="AP137" s="20"/>
      <c r="AQ137" s="20"/>
      <c r="AR137" s="20"/>
      <c r="AS137" s="15"/>
      <c r="AT137" s="15"/>
      <c r="AU137" s="15"/>
      <c r="AV137" s="15"/>
      <c r="AW137" s="15"/>
      <c r="AX137" s="15"/>
      <c r="AY137" s="15"/>
      <c r="AZ137" s="15"/>
      <c r="BA137" s="15"/>
      <c r="BB137" s="15"/>
      <c r="BC137" s="15"/>
      <c r="BD137" s="15"/>
      <c r="BE137" s="15"/>
      <c r="BF137" s="15"/>
      <c r="BG137" s="15"/>
      <c r="BH137" s="15"/>
      <c r="BI137" s="15"/>
      <c r="BJ137" s="15"/>
      <c r="BK137" s="23"/>
      <c r="BL137" s="21"/>
    </row>
    <row r="138" spans="1:64" ht="19.5" customHeight="1" x14ac:dyDescent="0.25">
      <c r="A138" s="20"/>
      <c r="B138" s="20"/>
      <c r="C138" s="20"/>
      <c r="D138" s="20"/>
      <c r="E138" s="20"/>
      <c r="F138" s="20"/>
      <c r="G138" s="20"/>
      <c r="H138" s="20"/>
      <c r="I138" s="20"/>
      <c r="J138" s="20"/>
      <c r="K138" s="19"/>
      <c r="L138" s="24"/>
      <c r="M138" s="20"/>
      <c r="N138" s="20"/>
      <c r="O138" s="19"/>
      <c r="P138" s="23"/>
      <c r="Q138" s="23"/>
      <c r="R138" s="21"/>
      <c r="S138" s="23"/>
      <c r="T138" s="23"/>
      <c r="U138" s="23"/>
      <c r="V138" s="23"/>
      <c r="W138" s="23"/>
      <c r="X138" s="21"/>
      <c r="Y138" s="21"/>
      <c r="Z138" s="21"/>
      <c r="AA138" s="23"/>
      <c r="AB138" s="23"/>
      <c r="AC138" s="20"/>
      <c r="AD138" s="20"/>
      <c r="AE138" s="23"/>
      <c r="AF138" s="23"/>
      <c r="AG138" s="23"/>
      <c r="AH138" s="23"/>
      <c r="AI138" s="23"/>
      <c r="AJ138" s="23"/>
      <c r="AK138" s="23"/>
      <c r="AL138" s="15"/>
      <c r="AM138" s="23"/>
      <c r="AN138" s="23"/>
      <c r="AO138" s="23"/>
      <c r="AP138" s="20"/>
      <c r="AQ138" s="20"/>
      <c r="AR138" s="20"/>
      <c r="AS138" s="15"/>
      <c r="AT138" s="15"/>
      <c r="AU138" s="15"/>
      <c r="AV138" s="15"/>
      <c r="AW138" s="15"/>
      <c r="AX138" s="15"/>
      <c r="AY138" s="15"/>
      <c r="AZ138" s="15"/>
      <c r="BA138" s="15"/>
      <c r="BB138" s="15"/>
      <c r="BC138" s="15"/>
      <c r="BD138" s="15"/>
      <c r="BE138" s="15"/>
      <c r="BF138" s="15"/>
      <c r="BG138" s="15"/>
      <c r="BH138" s="15"/>
      <c r="BI138" s="15"/>
      <c r="BJ138" s="15"/>
      <c r="BK138" s="23"/>
      <c r="BL138" s="21"/>
    </row>
    <row r="139" spans="1:64" ht="19.5" customHeight="1" x14ac:dyDescent="0.25">
      <c r="A139" s="20"/>
      <c r="B139" s="20"/>
      <c r="C139" s="20"/>
      <c r="D139" s="20"/>
      <c r="E139" s="20"/>
      <c r="F139" s="20"/>
      <c r="G139" s="20"/>
      <c r="H139" s="20"/>
      <c r="I139" s="20"/>
      <c r="J139" s="20"/>
      <c r="K139" s="19"/>
      <c r="L139" s="24"/>
      <c r="M139" s="20"/>
      <c r="N139" s="20"/>
      <c r="O139" s="19"/>
      <c r="P139" s="23"/>
      <c r="Q139" s="23"/>
      <c r="R139" s="21"/>
      <c r="S139" s="23"/>
      <c r="T139" s="23"/>
      <c r="U139" s="23"/>
      <c r="V139" s="23"/>
      <c r="W139" s="23"/>
      <c r="X139" s="21"/>
      <c r="Y139" s="21"/>
      <c r="Z139" s="21"/>
      <c r="AA139" s="23"/>
      <c r="AB139" s="23"/>
      <c r="AC139" s="20"/>
      <c r="AD139" s="20"/>
      <c r="AE139" s="23"/>
      <c r="AF139" s="23"/>
      <c r="AG139" s="23"/>
      <c r="AH139" s="23"/>
      <c r="AI139" s="23"/>
      <c r="AJ139" s="23"/>
      <c r="AK139" s="23"/>
      <c r="AL139" s="15"/>
      <c r="AM139" s="23"/>
      <c r="AN139" s="23"/>
      <c r="AO139" s="23"/>
      <c r="AP139" s="20"/>
      <c r="AQ139" s="20"/>
      <c r="AR139" s="20"/>
      <c r="AS139" s="15"/>
      <c r="AT139" s="15"/>
      <c r="AU139" s="15"/>
      <c r="AV139" s="15"/>
      <c r="AW139" s="15"/>
      <c r="AX139" s="15"/>
      <c r="AY139" s="15"/>
      <c r="AZ139" s="15"/>
      <c r="BA139" s="15"/>
      <c r="BB139" s="15"/>
      <c r="BC139" s="15"/>
      <c r="BD139" s="15"/>
      <c r="BE139" s="15"/>
      <c r="BF139" s="15"/>
      <c r="BG139" s="15"/>
      <c r="BH139" s="15"/>
      <c r="BI139" s="15"/>
      <c r="BJ139" s="15"/>
      <c r="BK139" s="23"/>
      <c r="BL139" s="21"/>
    </row>
    <row r="140" spans="1:64" ht="19.5" customHeight="1" x14ac:dyDescent="0.25">
      <c r="A140" s="20"/>
      <c r="B140" s="20"/>
      <c r="C140" s="20"/>
      <c r="D140" s="20"/>
      <c r="E140" s="20"/>
      <c r="F140" s="20"/>
      <c r="G140" s="20"/>
      <c r="H140" s="20"/>
      <c r="I140" s="20"/>
      <c r="J140" s="20"/>
      <c r="K140" s="19"/>
      <c r="L140" s="24"/>
      <c r="M140" s="20"/>
      <c r="N140" s="20"/>
      <c r="O140" s="19"/>
      <c r="P140" s="23"/>
      <c r="Q140" s="23"/>
      <c r="R140" s="21"/>
      <c r="S140" s="23"/>
      <c r="T140" s="23"/>
      <c r="U140" s="23"/>
      <c r="V140" s="23"/>
      <c r="W140" s="23"/>
      <c r="X140" s="21"/>
      <c r="Y140" s="21"/>
      <c r="Z140" s="21"/>
      <c r="AA140" s="23"/>
      <c r="AB140" s="23"/>
      <c r="AC140" s="20"/>
      <c r="AD140" s="20"/>
      <c r="AE140" s="23"/>
      <c r="AF140" s="23"/>
      <c r="AG140" s="23"/>
      <c r="AH140" s="23"/>
      <c r="AI140" s="23"/>
      <c r="AJ140" s="23"/>
      <c r="AK140" s="23"/>
      <c r="AL140" s="15"/>
      <c r="AM140" s="23"/>
      <c r="AN140" s="23"/>
      <c r="AO140" s="23"/>
      <c r="AP140" s="20"/>
      <c r="AQ140" s="20"/>
      <c r="AR140" s="20"/>
      <c r="AS140" s="15"/>
      <c r="AT140" s="15"/>
      <c r="AU140" s="15"/>
      <c r="AV140" s="15"/>
      <c r="AW140" s="15"/>
      <c r="AX140" s="15"/>
      <c r="AY140" s="15"/>
      <c r="AZ140" s="15"/>
      <c r="BA140" s="15"/>
      <c r="BB140" s="15"/>
      <c r="BC140" s="15"/>
      <c r="BD140" s="15"/>
      <c r="BE140" s="15"/>
      <c r="BF140" s="15"/>
      <c r="BG140" s="15"/>
      <c r="BH140" s="15"/>
      <c r="BI140" s="15"/>
      <c r="BJ140" s="15"/>
      <c r="BK140" s="23"/>
      <c r="BL140" s="21"/>
    </row>
    <row r="141" spans="1:64" ht="19.5" customHeight="1" x14ac:dyDescent="0.25">
      <c r="A141" s="20"/>
      <c r="B141" s="20"/>
      <c r="C141" s="20"/>
      <c r="D141" s="20"/>
      <c r="E141" s="20"/>
      <c r="F141" s="20"/>
      <c r="G141" s="20"/>
      <c r="H141" s="20"/>
      <c r="I141" s="20"/>
      <c r="J141" s="20"/>
      <c r="K141" s="19"/>
      <c r="L141" s="24"/>
      <c r="M141" s="20"/>
      <c r="N141" s="20"/>
      <c r="O141" s="19"/>
      <c r="P141" s="23"/>
      <c r="Q141" s="23"/>
      <c r="R141" s="21"/>
      <c r="S141" s="23"/>
      <c r="T141" s="23"/>
      <c r="U141" s="23"/>
      <c r="V141" s="23"/>
      <c r="W141" s="23"/>
      <c r="X141" s="21"/>
      <c r="Y141" s="21"/>
      <c r="Z141" s="21"/>
      <c r="AA141" s="23"/>
      <c r="AB141" s="23"/>
      <c r="AC141" s="20"/>
      <c r="AD141" s="20"/>
      <c r="AE141" s="23"/>
      <c r="AF141" s="23"/>
      <c r="AG141" s="23"/>
      <c r="AH141" s="23"/>
      <c r="AI141" s="23"/>
      <c r="AJ141" s="23"/>
      <c r="AK141" s="23"/>
      <c r="AL141" s="15"/>
      <c r="AM141" s="23"/>
      <c r="AN141" s="23"/>
      <c r="AO141" s="23"/>
      <c r="AP141" s="20"/>
      <c r="AQ141" s="20"/>
      <c r="AR141" s="20"/>
      <c r="AS141" s="15"/>
      <c r="AT141" s="15"/>
      <c r="AU141" s="15"/>
      <c r="AV141" s="15"/>
      <c r="AW141" s="15"/>
      <c r="AX141" s="15"/>
      <c r="AY141" s="15"/>
      <c r="AZ141" s="15"/>
      <c r="BA141" s="15"/>
      <c r="BB141" s="15"/>
      <c r="BC141" s="15"/>
      <c r="BD141" s="15"/>
      <c r="BE141" s="15"/>
      <c r="BF141" s="15"/>
      <c r="BG141" s="15"/>
      <c r="BH141" s="15"/>
      <c r="BI141" s="15"/>
      <c r="BJ141" s="15"/>
      <c r="BK141" s="23"/>
      <c r="BL141" s="21"/>
    </row>
    <row r="142" spans="1:64" ht="19.5" customHeight="1" x14ac:dyDescent="0.25">
      <c r="A142" s="20"/>
      <c r="B142" s="20"/>
      <c r="C142" s="20"/>
      <c r="D142" s="20"/>
      <c r="E142" s="20"/>
      <c r="F142" s="20"/>
      <c r="G142" s="20"/>
      <c r="H142" s="20"/>
      <c r="I142" s="20"/>
      <c r="J142" s="20"/>
      <c r="K142" s="19"/>
      <c r="L142" s="24"/>
      <c r="M142" s="20"/>
      <c r="N142" s="20"/>
      <c r="O142" s="19"/>
      <c r="P142" s="23"/>
      <c r="Q142" s="23"/>
      <c r="R142" s="21"/>
      <c r="S142" s="23"/>
      <c r="T142" s="23"/>
      <c r="U142" s="23"/>
      <c r="V142" s="23"/>
      <c r="W142" s="23"/>
      <c r="X142" s="21"/>
      <c r="Y142" s="21"/>
      <c r="Z142" s="21"/>
      <c r="AA142" s="23"/>
      <c r="AB142" s="23"/>
      <c r="AC142" s="20"/>
      <c r="AD142" s="20"/>
      <c r="AE142" s="23"/>
      <c r="AF142" s="23"/>
      <c r="AG142" s="23"/>
      <c r="AH142" s="23"/>
      <c r="AI142" s="23"/>
      <c r="AJ142" s="23"/>
      <c r="AK142" s="23"/>
      <c r="AL142" s="15"/>
      <c r="AM142" s="23"/>
      <c r="AN142" s="23"/>
      <c r="AO142" s="23"/>
      <c r="AP142" s="20"/>
      <c r="AQ142" s="20"/>
      <c r="AR142" s="20"/>
      <c r="AS142" s="15"/>
      <c r="AT142" s="15"/>
      <c r="AU142" s="15"/>
      <c r="AV142" s="15"/>
      <c r="AW142" s="15"/>
      <c r="AX142" s="15"/>
      <c r="AY142" s="15"/>
      <c r="AZ142" s="15"/>
      <c r="BA142" s="15"/>
      <c r="BB142" s="15"/>
      <c r="BC142" s="15"/>
      <c r="BD142" s="15"/>
      <c r="BE142" s="15"/>
      <c r="BF142" s="15"/>
      <c r="BG142" s="15"/>
      <c r="BH142" s="15"/>
      <c r="BI142" s="15"/>
      <c r="BJ142" s="15"/>
      <c r="BK142" s="23"/>
      <c r="BL142" s="21"/>
    </row>
    <row r="143" spans="1:64" ht="19.5" customHeight="1" x14ac:dyDescent="0.25">
      <c r="A143" s="20"/>
      <c r="B143" s="20"/>
      <c r="C143" s="20"/>
      <c r="D143" s="20"/>
      <c r="E143" s="20"/>
      <c r="F143" s="20"/>
      <c r="G143" s="20"/>
      <c r="H143" s="20"/>
      <c r="I143" s="20"/>
      <c r="J143" s="20"/>
      <c r="K143" s="19"/>
      <c r="L143" s="24"/>
      <c r="M143" s="20"/>
      <c r="N143" s="20"/>
      <c r="O143" s="19"/>
      <c r="P143" s="23"/>
      <c r="Q143" s="23"/>
      <c r="R143" s="21"/>
      <c r="S143" s="23"/>
      <c r="T143" s="23"/>
      <c r="U143" s="23"/>
      <c r="V143" s="23"/>
      <c r="W143" s="23"/>
      <c r="X143" s="21"/>
      <c r="Y143" s="21"/>
      <c r="Z143" s="21"/>
      <c r="AA143" s="23"/>
      <c r="AB143" s="23"/>
      <c r="AC143" s="20"/>
      <c r="AD143" s="20"/>
      <c r="AE143" s="23"/>
      <c r="AF143" s="23"/>
      <c r="AG143" s="23"/>
      <c r="AH143" s="23"/>
      <c r="AI143" s="23"/>
      <c r="AJ143" s="23"/>
      <c r="AK143" s="23"/>
      <c r="AL143" s="15"/>
      <c r="AM143" s="23"/>
      <c r="AN143" s="23"/>
      <c r="AO143" s="23"/>
      <c r="AP143" s="20"/>
      <c r="AQ143" s="20"/>
      <c r="AR143" s="20"/>
      <c r="AS143" s="15"/>
      <c r="AT143" s="15"/>
      <c r="AU143" s="15"/>
      <c r="AV143" s="15"/>
      <c r="AW143" s="15"/>
      <c r="AX143" s="15"/>
      <c r="AY143" s="15"/>
      <c r="AZ143" s="15"/>
      <c r="BA143" s="15"/>
      <c r="BB143" s="15"/>
      <c r="BC143" s="15"/>
      <c r="BD143" s="15"/>
      <c r="BE143" s="15"/>
      <c r="BF143" s="15"/>
      <c r="BG143" s="15"/>
      <c r="BH143" s="15"/>
      <c r="BI143" s="15"/>
      <c r="BJ143" s="15"/>
      <c r="BK143" s="23"/>
      <c r="BL143" s="21"/>
    </row>
    <row r="144" spans="1:64" ht="19.5" customHeight="1" x14ac:dyDescent="0.25">
      <c r="A144" s="20"/>
      <c r="B144" s="20"/>
      <c r="C144" s="20"/>
      <c r="D144" s="20"/>
      <c r="E144" s="20"/>
      <c r="F144" s="20"/>
      <c r="G144" s="20"/>
      <c r="H144" s="20"/>
      <c r="I144" s="20"/>
      <c r="J144" s="20"/>
      <c r="K144" s="19"/>
      <c r="L144" s="24"/>
      <c r="M144" s="20"/>
      <c r="N144" s="20"/>
      <c r="O144" s="19"/>
      <c r="P144" s="23"/>
      <c r="Q144" s="23"/>
      <c r="R144" s="21"/>
      <c r="S144" s="23"/>
      <c r="T144" s="23"/>
      <c r="U144" s="23"/>
      <c r="V144" s="23"/>
      <c r="W144" s="23"/>
      <c r="X144" s="21"/>
      <c r="Y144" s="21"/>
      <c r="Z144" s="21"/>
      <c r="AA144" s="23"/>
      <c r="AB144" s="23"/>
      <c r="AC144" s="20"/>
      <c r="AD144" s="20"/>
      <c r="AE144" s="23"/>
      <c r="AF144" s="23"/>
      <c r="AG144" s="23"/>
      <c r="AH144" s="23"/>
      <c r="AI144" s="23"/>
      <c r="AJ144" s="23"/>
      <c r="AK144" s="23"/>
      <c r="AL144" s="15"/>
      <c r="AM144" s="23"/>
      <c r="AN144" s="23"/>
      <c r="AO144" s="23"/>
      <c r="AP144" s="20"/>
      <c r="AQ144" s="20"/>
      <c r="AR144" s="20"/>
      <c r="AS144" s="15"/>
      <c r="AT144" s="15"/>
      <c r="AU144" s="15"/>
      <c r="AV144" s="15"/>
      <c r="AW144" s="15"/>
      <c r="AX144" s="15"/>
      <c r="AY144" s="15"/>
      <c r="AZ144" s="15"/>
      <c r="BA144" s="15"/>
      <c r="BB144" s="15"/>
      <c r="BC144" s="15"/>
      <c r="BD144" s="15"/>
      <c r="BE144" s="15"/>
      <c r="BF144" s="15"/>
      <c r="BG144" s="15"/>
      <c r="BH144" s="15"/>
      <c r="BI144" s="15"/>
      <c r="BJ144" s="15"/>
      <c r="BK144" s="23"/>
      <c r="BL144" s="21"/>
    </row>
    <row r="145" spans="1:64" ht="19.5" customHeight="1" x14ac:dyDescent="0.25">
      <c r="A145" s="20"/>
      <c r="B145" s="20"/>
      <c r="C145" s="20"/>
      <c r="D145" s="20"/>
      <c r="E145" s="20"/>
      <c r="F145" s="20"/>
      <c r="G145" s="20"/>
      <c r="H145" s="20"/>
      <c r="I145" s="20"/>
      <c r="J145" s="20"/>
      <c r="K145" s="19"/>
      <c r="L145" s="24"/>
      <c r="M145" s="20"/>
      <c r="N145" s="20"/>
      <c r="O145" s="19"/>
      <c r="P145" s="23"/>
      <c r="Q145" s="23"/>
      <c r="R145" s="21"/>
      <c r="S145" s="23"/>
      <c r="T145" s="23"/>
      <c r="U145" s="23"/>
      <c r="V145" s="23"/>
      <c r="W145" s="23"/>
      <c r="X145" s="21"/>
      <c r="Y145" s="21"/>
      <c r="Z145" s="21"/>
      <c r="AA145" s="23"/>
      <c r="AB145" s="23"/>
      <c r="AC145" s="20"/>
      <c r="AD145" s="20"/>
      <c r="AE145" s="23"/>
      <c r="AF145" s="23"/>
      <c r="AG145" s="23"/>
      <c r="AH145" s="23"/>
      <c r="AI145" s="23"/>
      <c r="AJ145" s="23"/>
      <c r="AK145" s="23"/>
      <c r="AL145" s="15"/>
      <c r="AM145" s="23"/>
      <c r="AN145" s="23"/>
      <c r="AO145" s="23"/>
      <c r="AP145" s="20"/>
      <c r="AQ145" s="20"/>
      <c r="AR145" s="20"/>
      <c r="AS145" s="15"/>
      <c r="AT145" s="15"/>
      <c r="AU145" s="15"/>
      <c r="AV145" s="15"/>
      <c r="AW145" s="15"/>
      <c r="AX145" s="15"/>
      <c r="AY145" s="15"/>
      <c r="AZ145" s="15"/>
      <c r="BA145" s="15"/>
      <c r="BB145" s="15"/>
      <c r="BC145" s="15"/>
      <c r="BD145" s="15"/>
      <c r="BE145" s="15"/>
      <c r="BF145" s="15"/>
      <c r="BG145" s="15"/>
      <c r="BH145" s="15"/>
      <c r="BI145" s="15"/>
      <c r="BJ145" s="15"/>
      <c r="BK145" s="23"/>
      <c r="BL145" s="21"/>
    </row>
    <row r="146" spans="1:64" ht="19.5" customHeight="1" x14ac:dyDescent="0.25">
      <c r="A146" s="20"/>
      <c r="B146" s="20"/>
      <c r="C146" s="20"/>
      <c r="D146" s="20"/>
      <c r="E146" s="20"/>
      <c r="F146" s="20"/>
      <c r="G146" s="20"/>
      <c r="H146" s="20"/>
      <c r="I146" s="20"/>
      <c r="J146" s="20"/>
      <c r="K146" s="19"/>
      <c r="L146" s="24"/>
      <c r="M146" s="20"/>
      <c r="N146" s="20"/>
      <c r="O146" s="19"/>
      <c r="P146" s="23"/>
      <c r="Q146" s="23"/>
      <c r="R146" s="21"/>
      <c r="S146" s="23"/>
      <c r="T146" s="23"/>
      <c r="U146" s="23"/>
      <c r="V146" s="23"/>
      <c r="W146" s="23"/>
      <c r="X146" s="21"/>
      <c r="Y146" s="21"/>
      <c r="Z146" s="21"/>
      <c r="AA146" s="23"/>
      <c r="AB146" s="23"/>
      <c r="AC146" s="20"/>
      <c r="AD146" s="20"/>
      <c r="AE146" s="23"/>
      <c r="AF146" s="23"/>
      <c r="AG146" s="23"/>
      <c r="AH146" s="23"/>
      <c r="AI146" s="23"/>
      <c r="AJ146" s="23"/>
      <c r="AK146" s="23"/>
      <c r="AL146" s="15"/>
      <c r="AM146" s="23"/>
      <c r="AN146" s="23"/>
      <c r="AO146" s="23"/>
      <c r="AP146" s="20"/>
      <c r="AQ146" s="20"/>
      <c r="AR146" s="20"/>
      <c r="AS146" s="15"/>
      <c r="AT146" s="15"/>
      <c r="AU146" s="15"/>
      <c r="AV146" s="15"/>
      <c r="AW146" s="15"/>
      <c r="AX146" s="15"/>
      <c r="AY146" s="15"/>
      <c r="AZ146" s="15"/>
      <c r="BA146" s="15"/>
      <c r="BB146" s="15"/>
      <c r="BC146" s="15"/>
      <c r="BD146" s="15"/>
      <c r="BE146" s="15"/>
      <c r="BF146" s="15"/>
      <c r="BG146" s="15"/>
      <c r="BH146" s="15"/>
      <c r="BI146" s="15"/>
      <c r="BJ146" s="15"/>
      <c r="BK146" s="23"/>
      <c r="BL146" s="21"/>
    </row>
    <row r="147" spans="1:64" ht="19.5" customHeight="1" x14ac:dyDescent="0.25">
      <c r="A147" s="20"/>
      <c r="B147" s="20"/>
      <c r="C147" s="20"/>
      <c r="D147" s="20"/>
      <c r="E147" s="20"/>
      <c r="F147" s="20"/>
      <c r="G147" s="20"/>
      <c r="H147" s="20"/>
      <c r="I147" s="20"/>
      <c r="J147" s="20"/>
      <c r="K147" s="19"/>
      <c r="L147" s="24"/>
      <c r="M147" s="20"/>
      <c r="N147" s="20"/>
      <c r="O147" s="19"/>
      <c r="P147" s="23"/>
      <c r="Q147" s="23"/>
      <c r="R147" s="21"/>
      <c r="S147" s="23"/>
      <c r="T147" s="23"/>
      <c r="U147" s="23"/>
      <c r="V147" s="23"/>
      <c r="W147" s="23"/>
      <c r="X147" s="21"/>
      <c r="Y147" s="21"/>
      <c r="Z147" s="21"/>
      <c r="AA147" s="23"/>
      <c r="AB147" s="23"/>
      <c r="AC147" s="20"/>
      <c r="AD147" s="20"/>
      <c r="AE147" s="23"/>
      <c r="AF147" s="23"/>
      <c r="AG147" s="23"/>
      <c r="AH147" s="23"/>
      <c r="AI147" s="23"/>
      <c r="AJ147" s="23"/>
      <c r="AK147" s="23"/>
      <c r="AL147" s="15"/>
      <c r="AM147" s="23"/>
      <c r="AN147" s="23"/>
      <c r="AO147" s="23"/>
      <c r="AP147" s="20"/>
      <c r="AQ147" s="20"/>
      <c r="AR147" s="20"/>
      <c r="AS147" s="15"/>
      <c r="AT147" s="15"/>
      <c r="AU147" s="15"/>
      <c r="AV147" s="15"/>
      <c r="AW147" s="15"/>
      <c r="AX147" s="15"/>
      <c r="AY147" s="15"/>
      <c r="AZ147" s="15"/>
      <c r="BA147" s="15"/>
      <c r="BB147" s="15"/>
      <c r="BC147" s="15"/>
      <c r="BD147" s="15"/>
      <c r="BE147" s="15"/>
      <c r="BF147" s="15"/>
      <c r="BG147" s="15"/>
      <c r="BH147" s="15"/>
      <c r="BI147" s="15"/>
      <c r="BJ147" s="15"/>
      <c r="BK147" s="23"/>
      <c r="BL147" s="21"/>
    </row>
    <row r="148" spans="1:64" ht="19.5" customHeight="1" x14ac:dyDescent="0.25">
      <c r="A148" s="20"/>
      <c r="B148" s="20"/>
      <c r="C148" s="20"/>
      <c r="D148" s="20"/>
      <c r="E148" s="20"/>
      <c r="F148" s="20"/>
      <c r="G148" s="20"/>
      <c r="H148" s="20"/>
      <c r="I148" s="20"/>
      <c r="J148" s="20"/>
      <c r="K148" s="19"/>
      <c r="L148" s="24"/>
      <c r="M148" s="20"/>
      <c r="N148" s="20"/>
      <c r="O148" s="19"/>
      <c r="P148" s="23"/>
      <c r="Q148" s="23"/>
      <c r="R148" s="21"/>
      <c r="S148" s="23"/>
      <c r="T148" s="23"/>
      <c r="U148" s="23"/>
      <c r="V148" s="23"/>
      <c r="W148" s="23"/>
      <c r="X148" s="21"/>
      <c r="Y148" s="21"/>
      <c r="Z148" s="21"/>
      <c r="AA148" s="23"/>
      <c r="AB148" s="23"/>
      <c r="AC148" s="20"/>
      <c r="AD148" s="20"/>
      <c r="AE148" s="23"/>
      <c r="AF148" s="23"/>
      <c r="AG148" s="23"/>
      <c r="AH148" s="23"/>
      <c r="AI148" s="23"/>
      <c r="AJ148" s="23"/>
      <c r="AK148" s="23"/>
      <c r="AL148" s="15"/>
      <c r="AM148" s="23"/>
      <c r="AN148" s="23"/>
      <c r="AO148" s="23"/>
      <c r="AP148" s="20"/>
      <c r="AQ148" s="20"/>
      <c r="AR148" s="20"/>
      <c r="AS148" s="15"/>
      <c r="AT148" s="15"/>
      <c r="AU148" s="15"/>
      <c r="AV148" s="15"/>
      <c r="AW148" s="15"/>
      <c r="AX148" s="15"/>
      <c r="AY148" s="15"/>
      <c r="AZ148" s="15"/>
      <c r="BA148" s="15"/>
      <c r="BB148" s="15"/>
      <c r="BC148" s="15"/>
      <c r="BD148" s="15"/>
      <c r="BE148" s="15"/>
      <c r="BF148" s="15"/>
      <c r="BG148" s="15"/>
      <c r="BH148" s="15"/>
      <c r="BI148" s="15"/>
      <c r="BJ148" s="15"/>
      <c r="BK148" s="23"/>
      <c r="BL148" s="21"/>
    </row>
    <row r="149" spans="1:64" ht="19.5" customHeight="1" x14ac:dyDescent="0.25">
      <c r="A149" s="20"/>
      <c r="B149" s="20"/>
      <c r="C149" s="20"/>
      <c r="D149" s="20"/>
      <c r="E149" s="20"/>
      <c r="F149" s="20"/>
      <c r="G149" s="20"/>
      <c r="H149" s="20"/>
      <c r="I149" s="20"/>
      <c r="J149" s="20"/>
      <c r="K149" s="19"/>
      <c r="L149" s="24"/>
      <c r="M149" s="20"/>
      <c r="N149" s="20"/>
      <c r="O149" s="19"/>
      <c r="P149" s="23"/>
      <c r="Q149" s="23"/>
      <c r="R149" s="21"/>
      <c r="S149" s="23"/>
      <c r="T149" s="23"/>
      <c r="U149" s="23"/>
      <c r="V149" s="23"/>
      <c r="W149" s="23"/>
      <c r="X149" s="21"/>
      <c r="Y149" s="21"/>
      <c r="Z149" s="21"/>
      <c r="AA149" s="23"/>
      <c r="AB149" s="23"/>
      <c r="AC149" s="20"/>
      <c r="AD149" s="20"/>
      <c r="AE149" s="23"/>
      <c r="AF149" s="23"/>
      <c r="AG149" s="23"/>
      <c r="AH149" s="23"/>
      <c r="AI149" s="23"/>
      <c r="AJ149" s="23"/>
      <c r="AK149" s="23"/>
      <c r="AL149" s="15"/>
      <c r="AM149" s="23"/>
      <c r="AN149" s="23"/>
      <c r="AO149" s="23"/>
      <c r="AP149" s="20"/>
      <c r="AQ149" s="20"/>
      <c r="AR149" s="20"/>
      <c r="AS149" s="15"/>
      <c r="AT149" s="15"/>
      <c r="AU149" s="15"/>
      <c r="AV149" s="15"/>
      <c r="AW149" s="15"/>
      <c r="AX149" s="15"/>
      <c r="AY149" s="15"/>
      <c r="AZ149" s="15"/>
      <c r="BA149" s="15"/>
      <c r="BB149" s="15"/>
      <c r="BC149" s="15"/>
      <c r="BD149" s="15"/>
      <c r="BE149" s="15"/>
      <c r="BF149" s="15"/>
      <c r="BG149" s="15"/>
      <c r="BH149" s="15"/>
      <c r="BI149" s="15"/>
      <c r="BJ149" s="15"/>
      <c r="BK149" s="23"/>
      <c r="BL149" s="21"/>
    </row>
    <row r="150" spans="1:64" ht="19.5" customHeight="1" x14ac:dyDescent="0.25">
      <c r="A150" s="20"/>
      <c r="B150" s="20"/>
      <c r="C150" s="20"/>
      <c r="D150" s="20"/>
      <c r="E150" s="20"/>
      <c r="F150" s="20"/>
      <c r="G150" s="20"/>
      <c r="H150" s="20"/>
      <c r="I150" s="20"/>
      <c r="J150" s="20"/>
      <c r="K150" s="19"/>
      <c r="L150" s="24"/>
      <c r="M150" s="20"/>
      <c r="N150" s="20"/>
      <c r="O150" s="19"/>
      <c r="P150" s="23"/>
      <c r="Q150" s="23"/>
      <c r="R150" s="21"/>
      <c r="S150" s="23"/>
      <c r="T150" s="23"/>
      <c r="U150" s="23"/>
      <c r="V150" s="23"/>
      <c r="W150" s="23"/>
      <c r="X150" s="21"/>
      <c r="Y150" s="21"/>
      <c r="Z150" s="21"/>
      <c r="AA150" s="23"/>
      <c r="AB150" s="23"/>
      <c r="AC150" s="20"/>
      <c r="AD150" s="20"/>
      <c r="AE150" s="23"/>
      <c r="AF150" s="23"/>
      <c r="AG150" s="23"/>
      <c r="AH150" s="23"/>
      <c r="AI150" s="23"/>
      <c r="AJ150" s="23"/>
      <c r="AK150" s="23"/>
      <c r="AL150" s="15"/>
      <c r="AM150" s="23"/>
      <c r="AN150" s="23"/>
      <c r="AO150" s="23"/>
      <c r="AP150" s="20"/>
      <c r="AQ150" s="20"/>
      <c r="AR150" s="20"/>
      <c r="AS150" s="15"/>
      <c r="AT150" s="15"/>
      <c r="AU150" s="15"/>
      <c r="AV150" s="15"/>
      <c r="AW150" s="15"/>
      <c r="AX150" s="15"/>
      <c r="AY150" s="15"/>
      <c r="AZ150" s="15"/>
      <c r="BA150" s="15"/>
      <c r="BB150" s="15"/>
      <c r="BC150" s="15"/>
      <c r="BD150" s="15"/>
      <c r="BE150" s="15"/>
      <c r="BF150" s="15"/>
      <c r="BG150" s="15"/>
      <c r="BH150" s="15"/>
      <c r="BI150" s="15"/>
      <c r="BJ150" s="15"/>
      <c r="BK150" s="23"/>
      <c r="BL150" s="21"/>
    </row>
    <row r="151" spans="1:64" ht="19.5" customHeight="1" x14ac:dyDescent="0.25">
      <c r="A151" s="20"/>
      <c r="B151" s="20"/>
      <c r="C151" s="20"/>
      <c r="D151" s="20"/>
      <c r="E151" s="20"/>
      <c r="F151" s="20"/>
      <c r="G151" s="20"/>
      <c r="H151" s="20"/>
      <c r="I151" s="20"/>
      <c r="J151" s="20"/>
      <c r="K151" s="19"/>
      <c r="L151" s="24"/>
      <c r="M151" s="20"/>
      <c r="N151" s="20"/>
      <c r="O151" s="19"/>
      <c r="P151" s="23"/>
      <c r="Q151" s="23"/>
      <c r="R151" s="21"/>
      <c r="S151" s="23"/>
      <c r="T151" s="23"/>
      <c r="U151" s="23"/>
      <c r="V151" s="23"/>
      <c r="W151" s="23"/>
      <c r="X151" s="21"/>
      <c r="Y151" s="21"/>
      <c r="Z151" s="21"/>
      <c r="AA151" s="23"/>
      <c r="AB151" s="23"/>
      <c r="AC151" s="20"/>
      <c r="AD151" s="20"/>
      <c r="AE151" s="23"/>
      <c r="AF151" s="23"/>
      <c r="AG151" s="23"/>
      <c r="AH151" s="23"/>
      <c r="AI151" s="23"/>
      <c r="AJ151" s="23"/>
      <c r="AK151" s="23"/>
      <c r="AL151" s="15"/>
      <c r="AM151" s="23"/>
      <c r="AN151" s="23"/>
      <c r="AO151" s="23"/>
      <c r="AP151" s="20"/>
      <c r="AQ151" s="20"/>
      <c r="AR151" s="20"/>
      <c r="AS151" s="15"/>
      <c r="AT151" s="15"/>
      <c r="AU151" s="15"/>
      <c r="AV151" s="15"/>
      <c r="AW151" s="15"/>
      <c r="AX151" s="15"/>
      <c r="AY151" s="15"/>
      <c r="AZ151" s="15"/>
      <c r="BA151" s="15"/>
      <c r="BB151" s="15"/>
      <c r="BC151" s="15"/>
      <c r="BD151" s="15"/>
      <c r="BE151" s="15"/>
      <c r="BF151" s="15"/>
      <c r="BG151" s="15"/>
      <c r="BH151" s="15"/>
      <c r="BI151" s="15"/>
      <c r="BJ151" s="15"/>
      <c r="BK151" s="23"/>
      <c r="BL151" s="21"/>
    </row>
    <row r="152" spans="1:64" ht="19.5" customHeight="1" x14ac:dyDescent="0.25">
      <c r="A152" s="20"/>
      <c r="B152" s="20"/>
      <c r="C152" s="20"/>
      <c r="D152" s="20"/>
      <c r="E152" s="20"/>
      <c r="F152" s="20"/>
      <c r="G152" s="20"/>
      <c r="H152" s="20"/>
      <c r="I152" s="20"/>
      <c r="J152" s="20"/>
      <c r="K152" s="19"/>
      <c r="L152" s="24"/>
      <c r="M152" s="20"/>
      <c r="N152" s="20"/>
      <c r="O152" s="19"/>
      <c r="P152" s="23"/>
      <c r="Q152" s="23"/>
      <c r="R152" s="21"/>
      <c r="S152" s="23"/>
      <c r="T152" s="23"/>
      <c r="U152" s="23"/>
      <c r="V152" s="23"/>
      <c r="W152" s="23"/>
      <c r="X152" s="21"/>
      <c r="Y152" s="21"/>
      <c r="Z152" s="21"/>
      <c r="AA152" s="23"/>
      <c r="AB152" s="23"/>
      <c r="AC152" s="20"/>
      <c r="AD152" s="20"/>
      <c r="AE152" s="23"/>
      <c r="AF152" s="23"/>
      <c r="AG152" s="23"/>
      <c r="AH152" s="23"/>
      <c r="AI152" s="23"/>
      <c r="AJ152" s="23"/>
      <c r="AK152" s="23"/>
      <c r="AL152" s="15"/>
      <c r="AM152" s="23"/>
      <c r="AN152" s="23"/>
      <c r="AO152" s="23"/>
      <c r="AP152" s="20"/>
      <c r="AQ152" s="20"/>
      <c r="AR152" s="20"/>
      <c r="AS152" s="15"/>
      <c r="AT152" s="15"/>
      <c r="AU152" s="15"/>
      <c r="AV152" s="15"/>
      <c r="AW152" s="15"/>
      <c r="AX152" s="15"/>
      <c r="AY152" s="15"/>
      <c r="AZ152" s="15"/>
      <c r="BA152" s="15"/>
      <c r="BB152" s="15"/>
      <c r="BC152" s="15"/>
      <c r="BD152" s="15"/>
      <c r="BE152" s="15"/>
      <c r="BF152" s="15"/>
      <c r="BG152" s="15"/>
      <c r="BH152" s="15"/>
      <c r="BI152" s="15"/>
      <c r="BJ152" s="15"/>
      <c r="BK152" s="23"/>
      <c r="BL152" s="21"/>
    </row>
    <row r="153" spans="1:64" ht="19.5" customHeight="1" x14ac:dyDescent="0.25">
      <c r="A153" s="20"/>
      <c r="B153" s="20"/>
      <c r="C153" s="20"/>
      <c r="D153" s="20"/>
      <c r="E153" s="20"/>
      <c r="F153" s="20"/>
      <c r="G153" s="20"/>
      <c r="H153" s="20"/>
      <c r="I153" s="20"/>
      <c r="J153" s="20"/>
      <c r="K153" s="19"/>
      <c r="L153" s="24"/>
      <c r="M153" s="20"/>
      <c r="N153" s="20"/>
      <c r="O153" s="19"/>
      <c r="P153" s="23"/>
      <c r="Q153" s="23"/>
      <c r="R153" s="21"/>
      <c r="S153" s="23"/>
      <c r="T153" s="23"/>
      <c r="U153" s="23"/>
      <c r="V153" s="23"/>
      <c r="W153" s="23"/>
      <c r="X153" s="21"/>
      <c r="Y153" s="21"/>
      <c r="Z153" s="21"/>
      <c r="AA153" s="23"/>
      <c r="AB153" s="23"/>
      <c r="AC153" s="20"/>
      <c r="AD153" s="20"/>
      <c r="AE153" s="23"/>
      <c r="AF153" s="23"/>
      <c r="AG153" s="23"/>
      <c r="AH153" s="23"/>
      <c r="AI153" s="23"/>
      <c r="AJ153" s="23"/>
      <c r="AK153" s="23"/>
      <c r="AL153" s="15"/>
      <c r="AM153" s="23"/>
      <c r="AN153" s="23"/>
      <c r="AO153" s="23"/>
      <c r="AP153" s="20"/>
      <c r="AQ153" s="20"/>
      <c r="AR153" s="20"/>
      <c r="AS153" s="15"/>
      <c r="AT153" s="15"/>
      <c r="AU153" s="15"/>
      <c r="AV153" s="15"/>
      <c r="AW153" s="15"/>
      <c r="AX153" s="15"/>
      <c r="AY153" s="15"/>
      <c r="AZ153" s="15"/>
      <c r="BA153" s="15"/>
      <c r="BB153" s="15"/>
      <c r="BC153" s="15"/>
      <c r="BD153" s="15"/>
      <c r="BE153" s="15"/>
      <c r="BF153" s="15"/>
      <c r="BG153" s="15"/>
      <c r="BH153" s="15"/>
      <c r="BI153" s="15"/>
      <c r="BJ153" s="15"/>
      <c r="BK153" s="23"/>
      <c r="BL153" s="21"/>
    </row>
    <row r="154" spans="1:64" ht="19.5" customHeight="1" x14ac:dyDescent="0.25">
      <c r="A154" s="20"/>
      <c r="B154" s="20"/>
      <c r="C154" s="20"/>
      <c r="D154" s="20"/>
      <c r="E154" s="20"/>
      <c r="F154" s="20"/>
      <c r="G154" s="20"/>
      <c r="H154" s="20"/>
      <c r="I154" s="20"/>
      <c r="J154" s="20"/>
      <c r="K154" s="19"/>
      <c r="L154" s="24"/>
      <c r="M154" s="20"/>
      <c r="N154" s="20"/>
      <c r="O154" s="19"/>
      <c r="P154" s="23"/>
      <c r="Q154" s="23"/>
      <c r="R154" s="21"/>
      <c r="S154" s="23"/>
      <c r="T154" s="23"/>
      <c r="U154" s="23"/>
      <c r="V154" s="23"/>
      <c r="W154" s="23"/>
      <c r="X154" s="21"/>
      <c r="Y154" s="21"/>
      <c r="Z154" s="21"/>
      <c r="AA154" s="23"/>
      <c r="AB154" s="23"/>
      <c r="AC154" s="20"/>
      <c r="AD154" s="20"/>
      <c r="AE154" s="23"/>
      <c r="AF154" s="23"/>
      <c r="AG154" s="23"/>
      <c r="AH154" s="23"/>
      <c r="AI154" s="23"/>
      <c r="AJ154" s="23"/>
      <c r="AK154" s="23"/>
      <c r="AL154" s="15"/>
      <c r="AM154" s="23"/>
      <c r="AN154" s="23"/>
      <c r="AO154" s="23"/>
      <c r="AP154" s="20"/>
      <c r="AQ154" s="20"/>
      <c r="AR154" s="20"/>
      <c r="AS154" s="15"/>
      <c r="AT154" s="15"/>
      <c r="AU154" s="15"/>
      <c r="AV154" s="15"/>
      <c r="AW154" s="15"/>
      <c r="AX154" s="15"/>
      <c r="AY154" s="15"/>
      <c r="AZ154" s="15"/>
      <c r="BA154" s="15"/>
      <c r="BB154" s="15"/>
      <c r="BC154" s="15"/>
      <c r="BD154" s="15"/>
      <c r="BE154" s="15"/>
      <c r="BF154" s="15"/>
      <c r="BG154" s="15"/>
      <c r="BH154" s="15"/>
      <c r="BI154" s="15"/>
      <c r="BJ154" s="15"/>
      <c r="BK154" s="23"/>
      <c r="BL154" s="21"/>
    </row>
    <row r="155" spans="1:64" ht="19.5" customHeight="1" x14ac:dyDescent="0.25">
      <c r="A155" s="20"/>
      <c r="B155" s="20"/>
      <c r="C155" s="20"/>
      <c r="D155" s="20"/>
      <c r="E155" s="20"/>
      <c r="F155" s="20"/>
      <c r="G155" s="20"/>
      <c r="H155" s="20"/>
      <c r="I155" s="20"/>
      <c r="J155" s="20"/>
      <c r="K155" s="19"/>
      <c r="L155" s="24"/>
      <c r="M155" s="20"/>
      <c r="N155" s="20"/>
      <c r="O155" s="19"/>
      <c r="P155" s="23"/>
      <c r="Q155" s="23"/>
      <c r="R155" s="21"/>
      <c r="S155" s="23"/>
      <c r="T155" s="23"/>
      <c r="U155" s="23"/>
      <c r="V155" s="23"/>
      <c r="W155" s="23"/>
      <c r="X155" s="21"/>
      <c r="Y155" s="21"/>
      <c r="Z155" s="21"/>
      <c r="AA155" s="23"/>
      <c r="AB155" s="23"/>
      <c r="AC155" s="20"/>
      <c r="AD155" s="20"/>
      <c r="AE155" s="23"/>
      <c r="AF155" s="23"/>
      <c r="AG155" s="23"/>
      <c r="AH155" s="23"/>
      <c r="AI155" s="23"/>
      <c r="AJ155" s="23"/>
      <c r="AK155" s="23"/>
      <c r="AL155" s="15"/>
      <c r="AM155" s="23"/>
      <c r="AN155" s="23"/>
      <c r="AO155" s="23"/>
      <c r="AP155" s="20"/>
      <c r="AQ155" s="20"/>
      <c r="AR155" s="20"/>
      <c r="AS155" s="15"/>
      <c r="AT155" s="15"/>
      <c r="AU155" s="15"/>
      <c r="AV155" s="15"/>
      <c r="AW155" s="15"/>
      <c r="AX155" s="15"/>
      <c r="AY155" s="15"/>
      <c r="AZ155" s="15"/>
      <c r="BA155" s="15"/>
      <c r="BB155" s="15"/>
      <c r="BC155" s="15"/>
      <c r="BD155" s="15"/>
      <c r="BE155" s="15"/>
      <c r="BF155" s="15"/>
      <c r="BG155" s="15"/>
      <c r="BH155" s="15"/>
      <c r="BI155" s="15"/>
      <c r="BJ155" s="15"/>
      <c r="BK155" s="23"/>
      <c r="BL155" s="21"/>
    </row>
    <row r="156" spans="1:64" ht="19.5" customHeight="1" x14ac:dyDescent="0.25">
      <c r="A156" s="20"/>
      <c r="B156" s="20"/>
      <c r="C156" s="20"/>
      <c r="D156" s="20"/>
      <c r="E156" s="20"/>
      <c r="F156" s="20"/>
      <c r="G156" s="20"/>
      <c r="H156" s="20"/>
      <c r="I156" s="20"/>
      <c r="J156" s="20"/>
      <c r="K156" s="19"/>
      <c r="L156" s="24"/>
      <c r="M156" s="20"/>
      <c r="N156" s="20"/>
      <c r="O156" s="19"/>
      <c r="P156" s="23"/>
      <c r="Q156" s="23"/>
      <c r="R156" s="21"/>
      <c r="S156" s="23"/>
      <c r="T156" s="23"/>
      <c r="U156" s="23"/>
      <c r="V156" s="23"/>
      <c r="W156" s="23"/>
      <c r="X156" s="21"/>
      <c r="Y156" s="21"/>
      <c r="Z156" s="21"/>
      <c r="AA156" s="23"/>
      <c r="AB156" s="23"/>
      <c r="AC156" s="20"/>
      <c r="AD156" s="20"/>
      <c r="AE156" s="23"/>
      <c r="AF156" s="23"/>
      <c r="AG156" s="23"/>
      <c r="AH156" s="23"/>
      <c r="AI156" s="23"/>
      <c r="AJ156" s="23"/>
      <c r="AK156" s="23"/>
      <c r="AL156" s="15"/>
      <c r="AM156" s="23"/>
      <c r="AN156" s="23"/>
      <c r="AO156" s="23"/>
      <c r="AP156" s="20"/>
      <c r="AQ156" s="20"/>
      <c r="AR156" s="20"/>
      <c r="AS156" s="15"/>
      <c r="AT156" s="15"/>
      <c r="AU156" s="15"/>
      <c r="AV156" s="15"/>
      <c r="AW156" s="15"/>
      <c r="AX156" s="15"/>
      <c r="AY156" s="15"/>
      <c r="AZ156" s="15"/>
      <c r="BA156" s="15"/>
      <c r="BB156" s="15"/>
      <c r="BC156" s="15"/>
      <c r="BD156" s="15"/>
      <c r="BE156" s="15"/>
      <c r="BF156" s="15"/>
      <c r="BG156" s="15"/>
      <c r="BH156" s="15"/>
      <c r="BI156" s="15"/>
      <c r="BJ156" s="15"/>
      <c r="BK156" s="23"/>
      <c r="BL156" s="21"/>
    </row>
    <row r="157" spans="1:64" ht="19.5" customHeight="1" x14ac:dyDescent="0.25">
      <c r="A157" s="20"/>
      <c r="B157" s="20"/>
      <c r="C157" s="20"/>
      <c r="D157" s="20"/>
      <c r="E157" s="20"/>
      <c r="F157" s="20"/>
      <c r="G157" s="20"/>
      <c r="H157" s="20"/>
      <c r="I157" s="20"/>
      <c r="J157" s="20"/>
      <c r="K157" s="19"/>
      <c r="L157" s="24"/>
      <c r="M157" s="20"/>
      <c r="N157" s="20"/>
      <c r="O157" s="19"/>
      <c r="P157" s="23"/>
      <c r="Q157" s="23"/>
      <c r="R157" s="21"/>
      <c r="S157" s="23"/>
      <c r="T157" s="23"/>
      <c r="U157" s="23"/>
      <c r="V157" s="23"/>
      <c r="W157" s="23"/>
      <c r="X157" s="21"/>
      <c r="Y157" s="21"/>
      <c r="Z157" s="21"/>
      <c r="AA157" s="23"/>
      <c r="AB157" s="23"/>
      <c r="AC157" s="20"/>
      <c r="AD157" s="20"/>
      <c r="AE157" s="23"/>
      <c r="AF157" s="23"/>
      <c r="AG157" s="23"/>
      <c r="AH157" s="23"/>
      <c r="AI157" s="23"/>
      <c r="AJ157" s="23"/>
      <c r="AK157" s="23"/>
      <c r="AL157" s="15"/>
      <c r="AM157" s="23"/>
      <c r="AN157" s="23"/>
      <c r="AO157" s="23"/>
      <c r="AP157" s="20"/>
      <c r="AQ157" s="20"/>
      <c r="AR157" s="20"/>
      <c r="AS157" s="15"/>
      <c r="AT157" s="15"/>
      <c r="AU157" s="15"/>
      <c r="AV157" s="15"/>
      <c r="AW157" s="15"/>
      <c r="AX157" s="15"/>
      <c r="AY157" s="15"/>
      <c r="AZ157" s="15"/>
      <c r="BA157" s="15"/>
      <c r="BB157" s="15"/>
      <c r="BC157" s="15"/>
      <c r="BD157" s="15"/>
      <c r="BE157" s="15"/>
      <c r="BF157" s="15"/>
      <c r="BG157" s="15"/>
      <c r="BH157" s="15"/>
      <c r="BI157" s="15"/>
      <c r="BJ157" s="15"/>
      <c r="BK157" s="23"/>
      <c r="BL157" s="21"/>
    </row>
    <row r="158" spans="1:64" ht="19.5" customHeight="1" x14ac:dyDescent="0.25">
      <c r="A158" s="20"/>
      <c r="B158" s="20"/>
      <c r="C158" s="20"/>
      <c r="D158" s="20"/>
      <c r="E158" s="20"/>
      <c r="F158" s="20"/>
      <c r="G158" s="20"/>
      <c r="H158" s="20"/>
      <c r="I158" s="20"/>
      <c r="J158" s="20"/>
      <c r="K158" s="19"/>
      <c r="L158" s="24"/>
      <c r="M158" s="20"/>
      <c r="N158" s="20"/>
      <c r="O158" s="19"/>
      <c r="P158" s="23"/>
      <c r="Q158" s="23"/>
      <c r="R158" s="21"/>
      <c r="S158" s="23"/>
      <c r="T158" s="23"/>
      <c r="U158" s="23"/>
      <c r="V158" s="23"/>
      <c r="W158" s="23"/>
      <c r="X158" s="21"/>
      <c r="Y158" s="21"/>
      <c r="Z158" s="21"/>
      <c r="AA158" s="23"/>
      <c r="AB158" s="23"/>
      <c r="AC158" s="20"/>
      <c r="AD158" s="20"/>
      <c r="AE158" s="23"/>
      <c r="AF158" s="23"/>
      <c r="AG158" s="23"/>
      <c r="AH158" s="23"/>
      <c r="AI158" s="23"/>
      <c r="AJ158" s="23"/>
      <c r="AK158" s="23"/>
      <c r="AL158" s="15"/>
      <c r="AM158" s="23"/>
      <c r="AN158" s="23"/>
      <c r="AO158" s="23"/>
      <c r="AP158" s="20"/>
      <c r="AQ158" s="20"/>
      <c r="AR158" s="20"/>
      <c r="AS158" s="15"/>
      <c r="AT158" s="15"/>
      <c r="AU158" s="15"/>
      <c r="AV158" s="15"/>
      <c r="AW158" s="15"/>
      <c r="AX158" s="15"/>
      <c r="AY158" s="15"/>
      <c r="AZ158" s="15"/>
      <c r="BA158" s="15"/>
      <c r="BB158" s="15"/>
      <c r="BC158" s="15"/>
      <c r="BD158" s="15"/>
      <c r="BE158" s="15"/>
      <c r="BF158" s="15"/>
      <c r="BG158" s="15"/>
      <c r="BH158" s="15"/>
      <c r="BI158" s="15"/>
      <c r="BJ158" s="15"/>
      <c r="BK158" s="23"/>
      <c r="BL158" s="21"/>
    </row>
    <row r="159" spans="1:64" ht="19.5" customHeight="1" x14ac:dyDescent="0.25">
      <c r="A159" s="20"/>
      <c r="B159" s="20"/>
      <c r="C159" s="20"/>
      <c r="D159" s="20"/>
      <c r="E159" s="20"/>
      <c r="F159" s="20"/>
      <c r="G159" s="20"/>
      <c r="H159" s="20"/>
      <c r="I159" s="20"/>
      <c r="J159" s="20"/>
      <c r="K159" s="19"/>
      <c r="L159" s="24"/>
      <c r="M159" s="20"/>
      <c r="N159" s="20"/>
      <c r="O159" s="19"/>
      <c r="P159" s="23"/>
      <c r="Q159" s="23"/>
      <c r="R159" s="21"/>
      <c r="S159" s="23"/>
      <c r="T159" s="23"/>
      <c r="U159" s="23"/>
      <c r="V159" s="23"/>
      <c r="W159" s="23"/>
      <c r="X159" s="21"/>
      <c r="Y159" s="21"/>
      <c r="Z159" s="21"/>
      <c r="AA159" s="23"/>
      <c r="AB159" s="23"/>
      <c r="AC159" s="20"/>
      <c r="AD159" s="20"/>
      <c r="AE159" s="23"/>
      <c r="AF159" s="23"/>
      <c r="AG159" s="23"/>
      <c r="AH159" s="23"/>
      <c r="AI159" s="23"/>
      <c r="AJ159" s="23"/>
      <c r="AK159" s="23"/>
      <c r="AL159" s="15"/>
      <c r="AM159" s="23"/>
      <c r="AN159" s="23"/>
      <c r="AO159" s="23"/>
      <c r="AP159" s="20"/>
      <c r="AQ159" s="20"/>
      <c r="AR159" s="20"/>
      <c r="AS159" s="15"/>
      <c r="AT159" s="15"/>
      <c r="AU159" s="15"/>
      <c r="AV159" s="15"/>
      <c r="AW159" s="15"/>
      <c r="AX159" s="15"/>
      <c r="AY159" s="15"/>
      <c r="AZ159" s="15"/>
      <c r="BA159" s="15"/>
      <c r="BB159" s="15"/>
      <c r="BC159" s="15"/>
      <c r="BD159" s="15"/>
      <c r="BE159" s="15"/>
      <c r="BF159" s="15"/>
      <c r="BG159" s="15"/>
      <c r="BH159" s="15"/>
      <c r="BI159" s="15"/>
      <c r="BJ159" s="15"/>
      <c r="BK159" s="23"/>
      <c r="BL159" s="21"/>
    </row>
    <row r="160" spans="1:64" ht="19.5" customHeight="1" x14ac:dyDescent="0.25">
      <c r="A160" s="20"/>
      <c r="B160" s="20"/>
      <c r="C160" s="20"/>
      <c r="D160" s="20"/>
      <c r="E160" s="20"/>
      <c r="F160" s="20"/>
      <c r="G160" s="20"/>
      <c r="H160" s="20"/>
      <c r="I160" s="20"/>
      <c r="J160" s="20"/>
      <c r="K160" s="19"/>
      <c r="L160" s="24"/>
      <c r="M160" s="20"/>
      <c r="N160" s="20"/>
      <c r="O160" s="19"/>
      <c r="P160" s="23"/>
      <c r="Q160" s="23"/>
      <c r="R160" s="21"/>
      <c r="S160" s="23"/>
      <c r="T160" s="23"/>
      <c r="U160" s="23"/>
      <c r="V160" s="23"/>
      <c r="W160" s="23"/>
      <c r="X160" s="21"/>
      <c r="Y160" s="21"/>
      <c r="Z160" s="21"/>
      <c r="AA160" s="23"/>
      <c r="AB160" s="23"/>
      <c r="AC160" s="20"/>
      <c r="AD160" s="20"/>
      <c r="AE160" s="23"/>
      <c r="AF160" s="23"/>
      <c r="AG160" s="23"/>
      <c r="AH160" s="23"/>
      <c r="AI160" s="23"/>
      <c r="AJ160" s="23"/>
      <c r="AK160" s="23"/>
      <c r="AL160" s="15"/>
      <c r="AM160" s="23"/>
      <c r="AN160" s="23"/>
      <c r="AO160" s="23"/>
      <c r="AP160" s="20"/>
      <c r="AQ160" s="20"/>
      <c r="AR160" s="20"/>
      <c r="AS160" s="15"/>
      <c r="AT160" s="15"/>
      <c r="AU160" s="15"/>
      <c r="AV160" s="15"/>
      <c r="AW160" s="15"/>
      <c r="AX160" s="15"/>
      <c r="AY160" s="15"/>
      <c r="AZ160" s="15"/>
      <c r="BA160" s="15"/>
      <c r="BB160" s="15"/>
      <c r="BC160" s="15"/>
      <c r="BD160" s="15"/>
      <c r="BE160" s="15"/>
      <c r="BF160" s="15"/>
      <c r="BG160" s="15"/>
      <c r="BH160" s="15"/>
      <c r="BI160" s="15"/>
      <c r="BJ160" s="15"/>
      <c r="BK160" s="23"/>
      <c r="BL160" s="21"/>
    </row>
    <row r="161" spans="1:64" ht="19.5" customHeight="1" x14ac:dyDescent="0.25">
      <c r="A161" s="20"/>
      <c r="B161" s="20"/>
      <c r="C161" s="20"/>
      <c r="D161" s="20"/>
      <c r="E161" s="20"/>
      <c r="F161" s="20"/>
      <c r="G161" s="20"/>
      <c r="H161" s="20"/>
      <c r="I161" s="20"/>
      <c r="J161" s="20"/>
      <c r="K161" s="19"/>
      <c r="L161" s="24"/>
      <c r="M161" s="20"/>
      <c r="N161" s="20"/>
      <c r="O161" s="19"/>
      <c r="P161" s="23"/>
      <c r="Q161" s="23"/>
      <c r="R161" s="21"/>
      <c r="S161" s="23"/>
      <c r="T161" s="23"/>
      <c r="U161" s="23"/>
      <c r="V161" s="23"/>
      <c r="W161" s="23"/>
      <c r="X161" s="21"/>
      <c r="Y161" s="21"/>
      <c r="Z161" s="21"/>
      <c r="AA161" s="23"/>
      <c r="AB161" s="23"/>
      <c r="AC161" s="20"/>
      <c r="AD161" s="20"/>
      <c r="AE161" s="23"/>
      <c r="AF161" s="23"/>
      <c r="AG161" s="23"/>
      <c r="AH161" s="23"/>
      <c r="AI161" s="23"/>
      <c r="AJ161" s="23"/>
      <c r="AK161" s="23"/>
      <c r="AL161" s="15"/>
      <c r="AM161" s="23"/>
      <c r="AN161" s="23"/>
      <c r="AO161" s="23"/>
      <c r="AP161" s="20"/>
      <c r="AQ161" s="20"/>
      <c r="AR161" s="20"/>
      <c r="AS161" s="15"/>
      <c r="AT161" s="15"/>
      <c r="AU161" s="15"/>
      <c r="AV161" s="15"/>
      <c r="AW161" s="15"/>
      <c r="AX161" s="15"/>
      <c r="AY161" s="15"/>
      <c r="AZ161" s="15"/>
      <c r="BA161" s="15"/>
      <c r="BB161" s="15"/>
      <c r="BC161" s="15"/>
      <c r="BD161" s="15"/>
      <c r="BE161" s="15"/>
      <c r="BF161" s="15"/>
      <c r="BG161" s="15"/>
      <c r="BH161" s="15"/>
      <c r="BI161" s="15"/>
      <c r="BJ161" s="15"/>
      <c r="BK161" s="23"/>
      <c r="BL161" s="21"/>
    </row>
    <row r="162" spans="1:64" ht="19.5" customHeight="1" x14ac:dyDescent="0.25">
      <c r="A162" s="20"/>
      <c r="B162" s="20"/>
      <c r="C162" s="20"/>
      <c r="D162" s="20"/>
      <c r="E162" s="20"/>
      <c r="F162" s="20"/>
      <c r="G162" s="20"/>
      <c r="H162" s="20"/>
      <c r="I162" s="20"/>
      <c r="J162" s="20"/>
      <c r="K162" s="19"/>
      <c r="L162" s="24"/>
      <c r="M162" s="20"/>
      <c r="N162" s="20"/>
      <c r="O162" s="19"/>
      <c r="P162" s="23"/>
      <c r="Q162" s="23"/>
      <c r="R162" s="21"/>
      <c r="S162" s="23"/>
      <c r="T162" s="23"/>
      <c r="U162" s="23"/>
      <c r="V162" s="23"/>
      <c r="W162" s="23"/>
      <c r="X162" s="21"/>
      <c r="Y162" s="21"/>
      <c r="Z162" s="21"/>
      <c r="AA162" s="23"/>
      <c r="AB162" s="23"/>
      <c r="AC162" s="20"/>
      <c r="AD162" s="20"/>
      <c r="AE162" s="23"/>
      <c r="AF162" s="23"/>
      <c r="AG162" s="23"/>
      <c r="AH162" s="23"/>
      <c r="AI162" s="23"/>
      <c r="AJ162" s="23"/>
      <c r="AK162" s="23"/>
      <c r="AL162" s="15"/>
      <c r="AM162" s="23"/>
      <c r="AN162" s="23"/>
      <c r="AO162" s="23"/>
      <c r="AP162" s="20"/>
      <c r="AQ162" s="20"/>
      <c r="AR162" s="20"/>
      <c r="AS162" s="15"/>
      <c r="AT162" s="15"/>
      <c r="AU162" s="15"/>
      <c r="AV162" s="15"/>
      <c r="AW162" s="15"/>
      <c r="AX162" s="15"/>
      <c r="AY162" s="15"/>
      <c r="AZ162" s="15"/>
      <c r="BA162" s="15"/>
      <c r="BB162" s="15"/>
      <c r="BC162" s="15"/>
      <c r="BD162" s="15"/>
      <c r="BE162" s="15"/>
      <c r="BF162" s="15"/>
      <c r="BG162" s="15"/>
      <c r="BH162" s="15"/>
      <c r="BI162" s="15"/>
      <c r="BJ162" s="15"/>
      <c r="BK162" s="23"/>
      <c r="BL162" s="21"/>
    </row>
    <row r="163" spans="1:64" ht="19.5" customHeight="1" x14ac:dyDescent="0.25">
      <c r="A163" s="20"/>
      <c r="B163" s="20"/>
      <c r="C163" s="20"/>
      <c r="D163" s="20"/>
      <c r="E163" s="20"/>
      <c r="F163" s="20"/>
      <c r="G163" s="20"/>
      <c r="H163" s="20"/>
      <c r="I163" s="20"/>
      <c r="J163" s="20"/>
      <c r="K163" s="19"/>
      <c r="L163" s="24"/>
      <c r="M163" s="20"/>
      <c r="N163" s="20"/>
      <c r="O163" s="19"/>
      <c r="P163" s="23"/>
      <c r="Q163" s="23"/>
      <c r="R163" s="21"/>
      <c r="S163" s="23"/>
      <c r="T163" s="23"/>
      <c r="U163" s="23"/>
      <c r="V163" s="23"/>
      <c r="W163" s="23"/>
      <c r="X163" s="21"/>
      <c r="Y163" s="21"/>
      <c r="Z163" s="21"/>
      <c r="AA163" s="23"/>
      <c r="AB163" s="23"/>
      <c r="AC163" s="20"/>
      <c r="AD163" s="20"/>
      <c r="AE163" s="23"/>
      <c r="AF163" s="23"/>
      <c r="AG163" s="23"/>
      <c r="AH163" s="23"/>
      <c r="AI163" s="23"/>
      <c r="AJ163" s="23"/>
      <c r="AK163" s="23"/>
      <c r="AL163" s="15"/>
      <c r="AM163" s="23"/>
      <c r="AN163" s="23"/>
      <c r="AO163" s="23"/>
      <c r="AP163" s="20"/>
      <c r="AQ163" s="20"/>
      <c r="AR163" s="20"/>
      <c r="AS163" s="15"/>
      <c r="AT163" s="15"/>
      <c r="AU163" s="15"/>
      <c r="AV163" s="15"/>
      <c r="AW163" s="15"/>
      <c r="AX163" s="15"/>
      <c r="AY163" s="15"/>
      <c r="AZ163" s="15"/>
      <c r="BA163" s="15"/>
      <c r="BB163" s="15"/>
      <c r="BC163" s="15"/>
      <c r="BD163" s="15"/>
      <c r="BE163" s="15"/>
      <c r="BF163" s="15"/>
      <c r="BG163" s="15"/>
      <c r="BH163" s="15"/>
      <c r="BI163" s="15"/>
      <c r="BJ163" s="15"/>
      <c r="BK163" s="23"/>
      <c r="BL163" s="21"/>
    </row>
    <row r="164" spans="1:64" ht="19.5" customHeight="1" x14ac:dyDescent="0.25">
      <c r="A164" s="20"/>
      <c r="B164" s="20"/>
      <c r="C164" s="20"/>
      <c r="D164" s="20"/>
      <c r="E164" s="20"/>
      <c r="F164" s="20"/>
      <c r="G164" s="20"/>
      <c r="H164" s="20"/>
      <c r="I164" s="20"/>
      <c r="J164" s="20"/>
      <c r="K164" s="19"/>
      <c r="L164" s="24"/>
      <c r="M164" s="20"/>
      <c r="N164" s="20"/>
      <c r="O164" s="19"/>
      <c r="P164" s="23"/>
      <c r="Q164" s="23"/>
      <c r="R164" s="21"/>
      <c r="S164" s="23"/>
      <c r="T164" s="23"/>
      <c r="U164" s="23"/>
      <c r="V164" s="23"/>
      <c r="W164" s="23"/>
      <c r="X164" s="21"/>
      <c r="Y164" s="21"/>
      <c r="Z164" s="21"/>
      <c r="AA164" s="23"/>
      <c r="AB164" s="23"/>
      <c r="AC164" s="20"/>
      <c r="AD164" s="20"/>
      <c r="AE164" s="23"/>
      <c r="AF164" s="23"/>
      <c r="AG164" s="23"/>
      <c r="AH164" s="23"/>
      <c r="AI164" s="23"/>
      <c r="AJ164" s="23"/>
      <c r="AK164" s="23"/>
      <c r="AL164" s="15"/>
      <c r="AM164" s="23"/>
      <c r="AN164" s="23"/>
      <c r="AO164" s="23"/>
      <c r="AP164" s="20"/>
      <c r="AQ164" s="20"/>
      <c r="AR164" s="20"/>
      <c r="AS164" s="15"/>
      <c r="AT164" s="15"/>
      <c r="AU164" s="15"/>
      <c r="AV164" s="15"/>
      <c r="AW164" s="15"/>
      <c r="AX164" s="15"/>
      <c r="AY164" s="15"/>
      <c r="AZ164" s="15"/>
      <c r="BA164" s="15"/>
      <c r="BB164" s="15"/>
      <c r="BC164" s="15"/>
      <c r="BD164" s="15"/>
      <c r="BE164" s="15"/>
      <c r="BF164" s="15"/>
      <c r="BG164" s="15"/>
      <c r="BH164" s="15"/>
      <c r="BI164" s="15"/>
      <c r="BJ164" s="15"/>
      <c r="BK164" s="23"/>
      <c r="BL164" s="21"/>
    </row>
    <row r="165" spans="1:64" ht="19.5" customHeight="1" x14ac:dyDescent="0.25">
      <c r="A165" s="20"/>
      <c r="B165" s="20"/>
      <c r="C165" s="20"/>
      <c r="D165" s="20"/>
      <c r="E165" s="20"/>
      <c r="F165" s="20"/>
      <c r="G165" s="20"/>
      <c r="H165" s="20"/>
      <c r="I165" s="20"/>
      <c r="J165" s="20"/>
      <c r="K165" s="19"/>
      <c r="L165" s="24"/>
      <c r="M165" s="20"/>
      <c r="N165" s="20"/>
      <c r="O165" s="19"/>
      <c r="P165" s="23"/>
      <c r="Q165" s="23"/>
      <c r="R165" s="21"/>
      <c r="S165" s="23"/>
      <c r="T165" s="23"/>
      <c r="U165" s="23"/>
      <c r="V165" s="23"/>
      <c r="W165" s="23"/>
      <c r="X165" s="21"/>
      <c r="Y165" s="21"/>
      <c r="Z165" s="21"/>
      <c r="AA165" s="23"/>
      <c r="AB165" s="23"/>
      <c r="AC165" s="20"/>
      <c r="AD165" s="20"/>
      <c r="AE165" s="23"/>
      <c r="AF165" s="23"/>
      <c r="AG165" s="23"/>
      <c r="AH165" s="23"/>
      <c r="AI165" s="23"/>
      <c r="AJ165" s="23"/>
      <c r="AK165" s="23"/>
      <c r="AL165" s="15"/>
      <c r="AM165" s="23"/>
      <c r="AN165" s="23"/>
      <c r="AO165" s="23"/>
      <c r="AP165" s="20"/>
      <c r="AQ165" s="20"/>
      <c r="AR165" s="20"/>
      <c r="AS165" s="15"/>
      <c r="AT165" s="15"/>
      <c r="AU165" s="15"/>
      <c r="AV165" s="15"/>
      <c r="AW165" s="15"/>
      <c r="AX165" s="15"/>
      <c r="AY165" s="15"/>
      <c r="AZ165" s="15"/>
      <c r="BA165" s="15"/>
      <c r="BB165" s="15"/>
      <c r="BC165" s="15"/>
      <c r="BD165" s="15"/>
      <c r="BE165" s="15"/>
      <c r="BF165" s="15"/>
      <c r="BG165" s="15"/>
      <c r="BH165" s="15"/>
      <c r="BI165" s="15"/>
      <c r="BJ165" s="15"/>
      <c r="BK165" s="23"/>
      <c r="BL165" s="21"/>
    </row>
    <row r="166" spans="1:64" ht="19.5" customHeight="1" x14ac:dyDescent="0.25">
      <c r="A166" s="20"/>
      <c r="B166" s="20"/>
      <c r="C166" s="20"/>
      <c r="D166" s="20"/>
      <c r="E166" s="20"/>
      <c r="F166" s="20"/>
      <c r="G166" s="20"/>
      <c r="H166" s="20"/>
      <c r="I166" s="20"/>
      <c r="J166" s="20"/>
      <c r="K166" s="19"/>
      <c r="L166" s="24"/>
      <c r="M166" s="20"/>
      <c r="N166" s="20"/>
      <c r="O166" s="19"/>
      <c r="P166" s="23"/>
      <c r="Q166" s="23"/>
      <c r="R166" s="21"/>
      <c r="S166" s="23"/>
      <c r="T166" s="23"/>
      <c r="U166" s="23"/>
      <c r="V166" s="23"/>
      <c r="W166" s="23"/>
      <c r="X166" s="21"/>
      <c r="Y166" s="21"/>
      <c r="Z166" s="21"/>
      <c r="AA166" s="23"/>
      <c r="AB166" s="23"/>
      <c r="AC166" s="20"/>
      <c r="AD166" s="20"/>
      <c r="AE166" s="23"/>
      <c r="AF166" s="23"/>
      <c r="AG166" s="23"/>
      <c r="AH166" s="23"/>
      <c r="AI166" s="23"/>
      <c r="AJ166" s="23"/>
      <c r="AK166" s="23"/>
      <c r="AL166" s="15"/>
      <c r="AM166" s="23"/>
      <c r="AN166" s="23"/>
      <c r="AO166" s="23"/>
      <c r="AP166" s="20"/>
      <c r="AQ166" s="20"/>
      <c r="AR166" s="20"/>
      <c r="AS166" s="15"/>
      <c r="AT166" s="15"/>
      <c r="AU166" s="15"/>
      <c r="AV166" s="15"/>
      <c r="AW166" s="15"/>
      <c r="AX166" s="15"/>
      <c r="AY166" s="15"/>
      <c r="AZ166" s="15"/>
      <c r="BA166" s="15"/>
      <c r="BB166" s="15"/>
      <c r="BC166" s="15"/>
      <c r="BD166" s="15"/>
      <c r="BE166" s="15"/>
      <c r="BF166" s="15"/>
      <c r="BG166" s="15"/>
      <c r="BH166" s="15"/>
      <c r="BI166" s="15"/>
      <c r="BJ166" s="15"/>
      <c r="BK166" s="23"/>
      <c r="BL166" s="21"/>
    </row>
    <row r="167" spans="1:64" ht="19.5" customHeight="1" x14ac:dyDescent="0.25">
      <c r="A167" s="20"/>
      <c r="B167" s="20"/>
      <c r="C167" s="20"/>
      <c r="D167" s="20"/>
      <c r="E167" s="20"/>
      <c r="F167" s="20"/>
      <c r="G167" s="20"/>
      <c r="H167" s="20"/>
      <c r="I167" s="20"/>
      <c r="J167" s="20"/>
      <c r="K167" s="19"/>
      <c r="L167" s="24"/>
      <c r="M167" s="20"/>
      <c r="N167" s="20"/>
      <c r="O167" s="19"/>
      <c r="P167" s="23"/>
      <c r="Q167" s="23"/>
      <c r="R167" s="21"/>
      <c r="S167" s="23"/>
      <c r="T167" s="23"/>
      <c r="U167" s="23"/>
      <c r="V167" s="23"/>
      <c r="W167" s="23"/>
      <c r="X167" s="21"/>
      <c r="Y167" s="21"/>
      <c r="Z167" s="21"/>
      <c r="AA167" s="23"/>
      <c r="AB167" s="23"/>
      <c r="AC167" s="20"/>
      <c r="AD167" s="20"/>
      <c r="AE167" s="23"/>
      <c r="AF167" s="23"/>
      <c r="AG167" s="23"/>
      <c r="AH167" s="23"/>
      <c r="AI167" s="23"/>
      <c r="AJ167" s="23"/>
      <c r="AK167" s="23"/>
      <c r="AL167" s="15"/>
      <c r="AM167" s="23"/>
      <c r="AN167" s="23"/>
      <c r="AO167" s="23"/>
      <c r="AP167" s="20"/>
      <c r="AQ167" s="20"/>
      <c r="AR167" s="20"/>
      <c r="AS167" s="15"/>
      <c r="AT167" s="15"/>
      <c r="AU167" s="15"/>
      <c r="AV167" s="15"/>
      <c r="AW167" s="15"/>
      <c r="AX167" s="15"/>
      <c r="AY167" s="15"/>
      <c r="AZ167" s="15"/>
      <c r="BA167" s="15"/>
      <c r="BB167" s="15"/>
      <c r="BC167" s="15"/>
      <c r="BD167" s="15"/>
      <c r="BE167" s="15"/>
      <c r="BF167" s="15"/>
      <c r="BG167" s="15"/>
      <c r="BH167" s="15"/>
      <c r="BI167" s="15"/>
      <c r="BJ167" s="15"/>
      <c r="BK167" s="23"/>
      <c r="BL167" s="21"/>
    </row>
    <row r="168" spans="1:64" ht="19.5" customHeight="1" x14ac:dyDescent="0.25">
      <c r="A168" s="20"/>
      <c r="B168" s="20"/>
      <c r="C168" s="20"/>
      <c r="D168" s="20"/>
      <c r="E168" s="20"/>
      <c r="F168" s="20"/>
      <c r="G168" s="20"/>
      <c r="H168" s="20"/>
      <c r="I168" s="20"/>
      <c r="J168" s="20"/>
      <c r="K168" s="19"/>
      <c r="L168" s="24"/>
      <c r="M168" s="20"/>
      <c r="N168" s="20"/>
      <c r="O168" s="19"/>
      <c r="P168" s="23"/>
      <c r="Q168" s="23"/>
      <c r="R168" s="21"/>
      <c r="S168" s="23"/>
      <c r="T168" s="23"/>
      <c r="U168" s="23"/>
      <c r="V168" s="23"/>
      <c r="W168" s="23"/>
      <c r="X168" s="21"/>
      <c r="Y168" s="21"/>
      <c r="Z168" s="21"/>
      <c r="AA168" s="23"/>
      <c r="AB168" s="23"/>
      <c r="AC168" s="20"/>
      <c r="AD168" s="20"/>
      <c r="AE168" s="23"/>
      <c r="AF168" s="23"/>
      <c r="AG168" s="23"/>
      <c r="AH168" s="23"/>
      <c r="AI168" s="23"/>
      <c r="AJ168" s="23"/>
      <c r="AK168" s="23"/>
      <c r="AL168" s="15"/>
      <c r="AM168" s="23"/>
      <c r="AN168" s="23"/>
      <c r="AO168" s="23"/>
      <c r="AP168" s="20"/>
      <c r="AQ168" s="20"/>
      <c r="AR168" s="20"/>
      <c r="AS168" s="15"/>
      <c r="AT168" s="15"/>
      <c r="AU168" s="15"/>
      <c r="AV168" s="15"/>
      <c r="AW168" s="15"/>
      <c r="AX168" s="15"/>
      <c r="AY168" s="15"/>
      <c r="AZ168" s="15"/>
      <c r="BA168" s="15"/>
      <c r="BB168" s="15"/>
      <c r="BC168" s="15"/>
      <c r="BD168" s="15"/>
      <c r="BE168" s="15"/>
      <c r="BF168" s="15"/>
      <c r="BG168" s="15"/>
      <c r="BH168" s="15"/>
      <c r="BI168" s="15"/>
      <c r="BJ168" s="15"/>
      <c r="BK168" s="23"/>
      <c r="BL168" s="21"/>
    </row>
    <row r="169" spans="1:64" ht="19.5" customHeight="1" x14ac:dyDescent="0.25">
      <c r="A169" s="20"/>
      <c r="B169" s="20"/>
      <c r="C169" s="20"/>
      <c r="D169" s="20"/>
      <c r="E169" s="20"/>
      <c r="F169" s="20"/>
      <c r="G169" s="20"/>
      <c r="H169" s="20"/>
      <c r="I169" s="20"/>
      <c r="J169" s="20"/>
      <c r="K169" s="19"/>
      <c r="L169" s="24"/>
      <c r="M169" s="20"/>
      <c r="N169" s="20"/>
      <c r="O169" s="19"/>
      <c r="P169" s="23"/>
      <c r="Q169" s="23"/>
      <c r="R169" s="21"/>
      <c r="S169" s="23"/>
      <c r="T169" s="23"/>
      <c r="U169" s="23"/>
      <c r="V169" s="23"/>
      <c r="W169" s="23"/>
      <c r="X169" s="21"/>
      <c r="Y169" s="21"/>
      <c r="Z169" s="21"/>
      <c r="AA169" s="23"/>
      <c r="AB169" s="23"/>
      <c r="AC169" s="20"/>
      <c r="AD169" s="20"/>
      <c r="AE169" s="23"/>
      <c r="AF169" s="23"/>
      <c r="AG169" s="23"/>
      <c r="AH169" s="23"/>
      <c r="AI169" s="23"/>
      <c r="AJ169" s="23"/>
      <c r="AK169" s="23"/>
      <c r="AL169" s="15"/>
      <c r="AM169" s="23"/>
      <c r="AN169" s="23"/>
      <c r="AO169" s="23"/>
      <c r="AP169" s="20"/>
      <c r="AQ169" s="20"/>
      <c r="AR169" s="20"/>
      <c r="AS169" s="15"/>
      <c r="AT169" s="15"/>
      <c r="AU169" s="15"/>
      <c r="AV169" s="15"/>
      <c r="AW169" s="15"/>
      <c r="AX169" s="15"/>
      <c r="AY169" s="15"/>
      <c r="AZ169" s="15"/>
      <c r="BA169" s="15"/>
      <c r="BB169" s="15"/>
      <c r="BC169" s="15"/>
      <c r="BD169" s="15"/>
      <c r="BE169" s="15"/>
      <c r="BF169" s="15"/>
      <c r="BG169" s="15"/>
      <c r="BH169" s="15"/>
      <c r="BI169" s="15"/>
      <c r="BJ169" s="15"/>
      <c r="BK169" s="23"/>
      <c r="BL169" s="21"/>
    </row>
    <row r="170" spans="1:64" ht="19.5" customHeight="1" x14ac:dyDescent="0.25">
      <c r="A170" s="20"/>
      <c r="B170" s="20"/>
      <c r="C170" s="20"/>
      <c r="D170" s="20"/>
      <c r="E170" s="20"/>
      <c r="F170" s="20"/>
      <c r="G170" s="20"/>
      <c r="H170" s="20"/>
      <c r="I170" s="20"/>
      <c r="J170" s="20"/>
      <c r="K170" s="19"/>
      <c r="L170" s="24"/>
      <c r="M170" s="20"/>
      <c r="N170" s="20"/>
      <c r="O170" s="19"/>
      <c r="P170" s="23"/>
      <c r="Q170" s="23"/>
      <c r="R170" s="21"/>
      <c r="S170" s="23"/>
      <c r="T170" s="23"/>
      <c r="U170" s="23"/>
      <c r="V170" s="23"/>
      <c r="W170" s="23"/>
      <c r="X170" s="21"/>
      <c r="Y170" s="21"/>
      <c r="Z170" s="21"/>
      <c r="AA170" s="23"/>
      <c r="AB170" s="23"/>
      <c r="AC170" s="20"/>
      <c r="AD170" s="20"/>
      <c r="AE170" s="23"/>
      <c r="AF170" s="23"/>
      <c r="AG170" s="23"/>
      <c r="AH170" s="23"/>
      <c r="AI170" s="23"/>
      <c r="AJ170" s="23"/>
      <c r="AK170" s="23"/>
      <c r="AL170" s="15"/>
      <c r="AM170" s="23"/>
      <c r="AN170" s="23"/>
      <c r="AO170" s="23"/>
      <c r="AP170" s="20"/>
      <c r="AQ170" s="20"/>
      <c r="AR170" s="20"/>
      <c r="AS170" s="15"/>
      <c r="AT170" s="15"/>
      <c r="AU170" s="15"/>
      <c r="AV170" s="15"/>
      <c r="AW170" s="15"/>
      <c r="AX170" s="15"/>
      <c r="AY170" s="15"/>
      <c r="AZ170" s="15"/>
      <c r="BA170" s="15"/>
      <c r="BB170" s="15"/>
      <c r="BC170" s="15"/>
      <c r="BD170" s="15"/>
      <c r="BE170" s="15"/>
      <c r="BF170" s="15"/>
      <c r="BG170" s="15"/>
      <c r="BH170" s="15"/>
      <c r="BI170" s="15"/>
      <c r="BJ170" s="15"/>
      <c r="BK170" s="23"/>
      <c r="BL170" s="21"/>
    </row>
    <row r="171" spans="1:64" ht="19.5" customHeight="1" x14ac:dyDescent="0.25">
      <c r="A171" s="20"/>
      <c r="B171" s="20"/>
      <c r="C171" s="20"/>
      <c r="D171" s="20"/>
      <c r="E171" s="20"/>
      <c r="F171" s="20"/>
      <c r="G171" s="20"/>
      <c r="H171" s="20"/>
      <c r="I171" s="20"/>
      <c r="J171" s="20"/>
      <c r="K171" s="19"/>
      <c r="L171" s="24"/>
      <c r="M171" s="20"/>
      <c r="N171" s="20"/>
      <c r="O171" s="19"/>
      <c r="P171" s="23"/>
      <c r="Q171" s="23"/>
      <c r="R171" s="21"/>
      <c r="S171" s="23"/>
      <c r="T171" s="23"/>
      <c r="U171" s="23"/>
      <c r="V171" s="23"/>
      <c r="W171" s="23"/>
      <c r="X171" s="21"/>
      <c r="Y171" s="21"/>
      <c r="Z171" s="21"/>
      <c r="AA171" s="23"/>
      <c r="AB171" s="23"/>
      <c r="AC171" s="20"/>
      <c r="AD171" s="20"/>
      <c r="AE171" s="23"/>
      <c r="AF171" s="23"/>
      <c r="AG171" s="23"/>
      <c r="AH171" s="23"/>
      <c r="AI171" s="23"/>
      <c r="AJ171" s="23"/>
      <c r="AK171" s="23"/>
      <c r="AL171" s="15"/>
      <c r="AM171" s="23"/>
      <c r="AN171" s="23"/>
      <c r="AO171" s="23"/>
      <c r="AP171" s="20"/>
      <c r="AQ171" s="20"/>
      <c r="AR171" s="20"/>
      <c r="AS171" s="15"/>
      <c r="AT171" s="15"/>
      <c r="AU171" s="15"/>
      <c r="AV171" s="15"/>
      <c r="AW171" s="15"/>
      <c r="AX171" s="15"/>
      <c r="AY171" s="15"/>
      <c r="AZ171" s="15"/>
      <c r="BA171" s="15"/>
      <c r="BB171" s="15"/>
      <c r="BC171" s="15"/>
      <c r="BD171" s="15"/>
      <c r="BE171" s="15"/>
      <c r="BF171" s="15"/>
      <c r="BG171" s="15"/>
      <c r="BH171" s="15"/>
      <c r="BI171" s="15"/>
      <c r="BJ171" s="15"/>
      <c r="BK171" s="23"/>
      <c r="BL171" s="21"/>
    </row>
    <row r="172" spans="1:64" ht="19.5" customHeight="1" x14ac:dyDescent="0.25">
      <c r="A172" s="20"/>
      <c r="B172" s="20"/>
      <c r="C172" s="20"/>
      <c r="D172" s="20"/>
      <c r="E172" s="20"/>
      <c r="F172" s="20"/>
      <c r="G172" s="20"/>
      <c r="H172" s="20"/>
      <c r="I172" s="20"/>
      <c r="J172" s="20"/>
      <c r="K172" s="19"/>
      <c r="L172" s="24"/>
      <c r="M172" s="20"/>
      <c r="N172" s="20"/>
      <c r="O172" s="19"/>
      <c r="P172" s="23"/>
      <c r="Q172" s="23"/>
      <c r="R172" s="21"/>
      <c r="S172" s="23"/>
      <c r="T172" s="23"/>
      <c r="U172" s="23"/>
      <c r="V172" s="23"/>
      <c r="W172" s="23"/>
      <c r="X172" s="21"/>
      <c r="Y172" s="21"/>
      <c r="Z172" s="21"/>
      <c r="AA172" s="23"/>
      <c r="AB172" s="23"/>
      <c r="AC172" s="20"/>
      <c r="AD172" s="20"/>
      <c r="AE172" s="23"/>
      <c r="AF172" s="23"/>
      <c r="AG172" s="23"/>
      <c r="AH172" s="23"/>
      <c r="AI172" s="23"/>
      <c r="AJ172" s="23"/>
      <c r="AK172" s="23"/>
      <c r="AL172" s="15"/>
      <c r="AM172" s="23"/>
      <c r="AN172" s="23"/>
      <c r="AO172" s="23"/>
      <c r="AP172" s="20"/>
      <c r="AQ172" s="20"/>
      <c r="AR172" s="20"/>
      <c r="AS172" s="15"/>
      <c r="AT172" s="15"/>
      <c r="AU172" s="15"/>
      <c r="AV172" s="15"/>
      <c r="AW172" s="15"/>
      <c r="AX172" s="15"/>
      <c r="AY172" s="15"/>
      <c r="AZ172" s="15"/>
      <c r="BA172" s="15"/>
      <c r="BB172" s="15"/>
      <c r="BC172" s="15"/>
      <c r="BD172" s="15"/>
      <c r="BE172" s="15"/>
      <c r="BF172" s="15"/>
      <c r="BG172" s="15"/>
      <c r="BH172" s="15"/>
      <c r="BI172" s="15"/>
      <c r="BJ172" s="15"/>
      <c r="BK172" s="23"/>
      <c r="BL172" s="21"/>
    </row>
    <row r="173" spans="1:64" ht="19.5" customHeight="1" x14ac:dyDescent="0.25">
      <c r="A173" s="20"/>
      <c r="B173" s="20"/>
      <c r="C173" s="20"/>
      <c r="D173" s="20"/>
      <c r="E173" s="20"/>
      <c r="F173" s="20"/>
      <c r="G173" s="20"/>
      <c r="H173" s="20"/>
      <c r="I173" s="20"/>
      <c r="J173" s="20"/>
      <c r="K173" s="19"/>
      <c r="L173" s="24"/>
      <c r="M173" s="20"/>
      <c r="N173" s="20"/>
      <c r="O173" s="19"/>
      <c r="P173" s="23"/>
      <c r="Q173" s="23"/>
      <c r="R173" s="21"/>
      <c r="S173" s="23"/>
      <c r="T173" s="23"/>
      <c r="U173" s="23"/>
      <c r="V173" s="23"/>
      <c r="W173" s="23"/>
      <c r="X173" s="21"/>
      <c r="Y173" s="21"/>
      <c r="Z173" s="21"/>
      <c r="AA173" s="23"/>
      <c r="AB173" s="23"/>
      <c r="AC173" s="20"/>
      <c r="AD173" s="20"/>
      <c r="AE173" s="23"/>
      <c r="AF173" s="23"/>
      <c r="AG173" s="23"/>
      <c r="AH173" s="23"/>
      <c r="AI173" s="23"/>
      <c r="AJ173" s="23"/>
      <c r="AK173" s="23"/>
      <c r="AL173" s="15"/>
      <c r="AM173" s="23"/>
      <c r="AN173" s="23"/>
      <c r="AO173" s="23"/>
      <c r="AP173" s="20"/>
      <c r="AQ173" s="20"/>
      <c r="AR173" s="20"/>
      <c r="AS173" s="15"/>
      <c r="AT173" s="15"/>
      <c r="AU173" s="15"/>
      <c r="AV173" s="15"/>
      <c r="AW173" s="15"/>
      <c r="AX173" s="15"/>
      <c r="AY173" s="15"/>
      <c r="AZ173" s="15"/>
      <c r="BA173" s="15"/>
      <c r="BB173" s="15"/>
      <c r="BC173" s="15"/>
      <c r="BD173" s="15"/>
      <c r="BE173" s="15"/>
      <c r="BF173" s="15"/>
      <c r="BG173" s="15"/>
      <c r="BH173" s="15"/>
      <c r="BI173" s="15"/>
      <c r="BJ173" s="15"/>
      <c r="BK173" s="23"/>
      <c r="BL173" s="21"/>
    </row>
    <row r="174" spans="1:64" ht="19.5" customHeight="1" x14ac:dyDescent="0.25">
      <c r="A174" s="20"/>
      <c r="B174" s="20"/>
      <c r="C174" s="20"/>
      <c r="D174" s="20"/>
      <c r="E174" s="20"/>
      <c r="F174" s="20"/>
      <c r="G174" s="20"/>
      <c r="H174" s="20"/>
      <c r="I174" s="20"/>
      <c r="J174" s="20"/>
      <c r="K174" s="19"/>
      <c r="L174" s="24"/>
      <c r="M174" s="20"/>
      <c r="N174" s="20"/>
      <c r="O174" s="19"/>
      <c r="P174" s="23"/>
      <c r="Q174" s="23"/>
      <c r="R174" s="21"/>
      <c r="S174" s="23"/>
      <c r="T174" s="23"/>
      <c r="U174" s="23"/>
      <c r="V174" s="23"/>
      <c r="W174" s="23"/>
      <c r="X174" s="21"/>
      <c r="Y174" s="21"/>
      <c r="Z174" s="21"/>
      <c r="AA174" s="23"/>
      <c r="AB174" s="23"/>
      <c r="AC174" s="20"/>
      <c r="AD174" s="20"/>
      <c r="AE174" s="23"/>
      <c r="AF174" s="23"/>
      <c r="AG174" s="23"/>
      <c r="AH174" s="23"/>
      <c r="AI174" s="23"/>
      <c r="AJ174" s="23"/>
      <c r="AK174" s="23"/>
      <c r="AL174" s="15"/>
      <c r="AM174" s="23"/>
      <c r="AN174" s="23"/>
      <c r="AO174" s="23"/>
      <c r="AP174" s="20"/>
      <c r="AQ174" s="20"/>
      <c r="AR174" s="20"/>
      <c r="AS174" s="15"/>
      <c r="AT174" s="15"/>
      <c r="AU174" s="15"/>
      <c r="AV174" s="15"/>
      <c r="AW174" s="15"/>
      <c r="AX174" s="15"/>
      <c r="AY174" s="15"/>
      <c r="AZ174" s="15"/>
      <c r="BA174" s="15"/>
      <c r="BB174" s="15"/>
      <c r="BC174" s="15"/>
      <c r="BD174" s="15"/>
      <c r="BE174" s="15"/>
      <c r="BF174" s="15"/>
      <c r="BG174" s="15"/>
      <c r="BH174" s="15"/>
      <c r="BI174" s="15"/>
      <c r="BJ174" s="15"/>
      <c r="BK174" s="23"/>
      <c r="BL174" s="21"/>
    </row>
    <row r="175" spans="1:64" ht="19.5" customHeight="1" x14ac:dyDescent="0.25">
      <c r="A175" s="20"/>
      <c r="B175" s="20"/>
      <c r="C175" s="20"/>
      <c r="D175" s="20"/>
      <c r="E175" s="20"/>
      <c r="F175" s="20"/>
      <c r="G175" s="20"/>
      <c r="H175" s="20"/>
      <c r="I175" s="20"/>
      <c r="J175" s="20"/>
      <c r="K175" s="19"/>
      <c r="L175" s="24"/>
      <c r="M175" s="20"/>
      <c r="N175" s="20"/>
      <c r="O175" s="19"/>
      <c r="P175" s="23"/>
      <c r="Q175" s="23"/>
      <c r="R175" s="21"/>
      <c r="S175" s="23"/>
      <c r="T175" s="23"/>
      <c r="U175" s="23"/>
      <c r="V175" s="23"/>
      <c r="W175" s="23"/>
      <c r="X175" s="21"/>
      <c r="Y175" s="21"/>
      <c r="Z175" s="21"/>
      <c r="AA175" s="23"/>
      <c r="AB175" s="23"/>
      <c r="AC175" s="20"/>
      <c r="AD175" s="20"/>
      <c r="AE175" s="23"/>
      <c r="AF175" s="23"/>
      <c r="AG175" s="23"/>
      <c r="AH175" s="23"/>
      <c r="AI175" s="23"/>
      <c r="AJ175" s="23"/>
      <c r="AK175" s="23"/>
      <c r="AL175" s="15"/>
      <c r="AM175" s="23"/>
      <c r="AN175" s="23"/>
      <c r="AO175" s="23"/>
      <c r="AP175" s="20"/>
      <c r="AQ175" s="20"/>
      <c r="AR175" s="20"/>
      <c r="AS175" s="15"/>
      <c r="AT175" s="15"/>
      <c r="AU175" s="15"/>
      <c r="AV175" s="15"/>
      <c r="AW175" s="15"/>
      <c r="AX175" s="15"/>
      <c r="AY175" s="15"/>
      <c r="AZ175" s="15"/>
      <c r="BA175" s="15"/>
      <c r="BB175" s="15"/>
      <c r="BC175" s="15"/>
      <c r="BD175" s="15"/>
      <c r="BE175" s="15"/>
      <c r="BF175" s="15"/>
      <c r="BG175" s="15"/>
      <c r="BH175" s="15"/>
      <c r="BI175" s="15"/>
      <c r="BJ175" s="15"/>
      <c r="BK175" s="23"/>
      <c r="BL175" s="21"/>
    </row>
    <row r="176" spans="1:64" ht="19.5" customHeight="1" x14ac:dyDescent="0.25">
      <c r="A176" s="20"/>
      <c r="B176" s="20"/>
      <c r="C176" s="20"/>
      <c r="D176" s="20"/>
      <c r="E176" s="20"/>
      <c r="F176" s="20"/>
      <c r="G176" s="20"/>
      <c r="H176" s="20"/>
      <c r="I176" s="20"/>
      <c r="J176" s="20"/>
      <c r="K176" s="19"/>
      <c r="L176" s="24"/>
      <c r="M176" s="20"/>
      <c r="N176" s="20"/>
      <c r="O176" s="19"/>
      <c r="P176" s="23"/>
      <c r="Q176" s="23"/>
      <c r="R176" s="21"/>
      <c r="S176" s="23"/>
      <c r="T176" s="23"/>
      <c r="U176" s="23"/>
      <c r="V176" s="23"/>
      <c r="W176" s="23"/>
      <c r="X176" s="21"/>
      <c r="Y176" s="21"/>
      <c r="Z176" s="21"/>
      <c r="AA176" s="23"/>
      <c r="AB176" s="23"/>
      <c r="AC176" s="20"/>
      <c r="AD176" s="20"/>
      <c r="AE176" s="23"/>
      <c r="AF176" s="23"/>
      <c r="AG176" s="23"/>
      <c r="AH176" s="23"/>
      <c r="AI176" s="23"/>
      <c r="AJ176" s="23"/>
      <c r="AK176" s="23"/>
      <c r="AL176" s="15"/>
      <c r="AM176" s="23"/>
      <c r="AN176" s="23"/>
      <c r="AO176" s="23"/>
      <c r="AP176" s="20"/>
      <c r="AQ176" s="20"/>
      <c r="AR176" s="20"/>
      <c r="AS176" s="15"/>
      <c r="AT176" s="15"/>
      <c r="AU176" s="15"/>
      <c r="AV176" s="15"/>
      <c r="AW176" s="15"/>
      <c r="AX176" s="15"/>
      <c r="AY176" s="15"/>
      <c r="AZ176" s="15"/>
      <c r="BA176" s="15"/>
      <c r="BB176" s="15"/>
      <c r="BC176" s="15"/>
      <c r="BD176" s="15"/>
      <c r="BE176" s="15"/>
      <c r="BF176" s="15"/>
      <c r="BG176" s="15"/>
      <c r="BH176" s="15"/>
      <c r="BI176" s="15"/>
      <c r="BJ176" s="15"/>
      <c r="BK176" s="23"/>
      <c r="BL176" s="21"/>
    </row>
    <row r="177" spans="1:64" ht="19.5" customHeight="1" x14ac:dyDescent="0.25">
      <c r="A177" s="20"/>
      <c r="B177" s="20"/>
      <c r="C177" s="20"/>
      <c r="D177" s="20"/>
      <c r="E177" s="20"/>
      <c r="F177" s="20"/>
      <c r="G177" s="20"/>
      <c r="H177" s="20"/>
      <c r="I177" s="20"/>
      <c r="J177" s="20"/>
      <c r="K177" s="19"/>
      <c r="L177" s="24"/>
      <c r="M177" s="20"/>
      <c r="N177" s="20"/>
      <c r="O177" s="19"/>
      <c r="P177" s="23"/>
      <c r="Q177" s="23"/>
      <c r="R177" s="21"/>
      <c r="S177" s="23"/>
      <c r="T177" s="23"/>
      <c r="U177" s="23"/>
      <c r="V177" s="23"/>
      <c r="W177" s="23"/>
      <c r="X177" s="21"/>
      <c r="Y177" s="21"/>
      <c r="Z177" s="21"/>
      <c r="AA177" s="23"/>
      <c r="AB177" s="23"/>
      <c r="AC177" s="20"/>
      <c r="AD177" s="20"/>
      <c r="AE177" s="23"/>
      <c r="AF177" s="23"/>
      <c r="AG177" s="23"/>
      <c r="AH177" s="23"/>
      <c r="AI177" s="23"/>
      <c r="AJ177" s="23"/>
      <c r="AK177" s="23"/>
      <c r="AL177" s="15"/>
      <c r="AM177" s="23"/>
      <c r="AN177" s="23"/>
      <c r="AO177" s="23"/>
      <c r="AP177" s="20"/>
      <c r="AQ177" s="20"/>
      <c r="AR177" s="20"/>
      <c r="AS177" s="15"/>
      <c r="AT177" s="15"/>
      <c r="AU177" s="15"/>
      <c r="AV177" s="15"/>
      <c r="AW177" s="15"/>
      <c r="AX177" s="15"/>
      <c r="AY177" s="15"/>
      <c r="AZ177" s="15"/>
      <c r="BA177" s="15"/>
      <c r="BB177" s="15"/>
      <c r="BC177" s="15"/>
      <c r="BD177" s="15"/>
      <c r="BE177" s="15"/>
      <c r="BF177" s="15"/>
      <c r="BG177" s="15"/>
      <c r="BH177" s="15"/>
      <c r="BI177" s="15"/>
      <c r="BJ177" s="15"/>
      <c r="BK177" s="23"/>
      <c r="BL177" s="21"/>
    </row>
    <row r="178" spans="1:64" ht="19.5" customHeight="1" x14ac:dyDescent="0.25">
      <c r="A178" s="20"/>
      <c r="B178" s="20"/>
      <c r="C178" s="20"/>
      <c r="D178" s="20"/>
      <c r="E178" s="20"/>
      <c r="F178" s="20"/>
      <c r="G178" s="20"/>
      <c r="H178" s="20"/>
      <c r="I178" s="20"/>
      <c r="J178" s="20"/>
      <c r="K178" s="19"/>
      <c r="L178" s="24"/>
      <c r="M178" s="20"/>
      <c r="N178" s="20"/>
      <c r="O178" s="19"/>
      <c r="P178" s="23"/>
      <c r="Q178" s="23"/>
      <c r="R178" s="21"/>
      <c r="S178" s="23"/>
      <c r="T178" s="23"/>
      <c r="U178" s="23"/>
      <c r="V178" s="23"/>
      <c r="W178" s="23"/>
      <c r="X178" s="21"/>
      <c r="Y178" s="21"/>
      <c r="Z178" s="21"/>
      <c r="AA178" s="23"/>
      <c r="AB178" s="23"/>
      <c r="AC178" s="20"/>
      <c r="AD178" s="20"/>
      <c r="AE178" s="23"/>
      <c r="AF178" s="23"/>
      <c r="AG178" s="23"/>
      <c r="AH178" s="23"/>
      <c r="AI178" s="23"/>
      <c r="AJ178" s="23"/>
      <c r="AK178" s="23"/>
      <c r="AL178" s="15"/>
      <c r="AM178" s="23"/>
      <c r="AN178" s="23"/>
      <c r="AO178" s="23"/>
      <c r="AP178" s="20"/>
      <c r="AQ178" s="20"/>
      <c r="AR178" s="20"/>
      <c r="AS178" s="15"/>
      <c r="AT178" s="15"/>
      <c r="AU178" s="15"/>
      <c r="AV178" s="15"/>
      <c r="AW178" s="15"/>
      <c r="AX178" s="15"/>
      <c r="AY178" s="15"/>
      <c r="AZ178" s="15"/>
      <c r="BA178" s="15"/>
      <c r="BB178" s="15"/>
      <c r="BC178" s="15"/>
      <c r="BD178" s="15"/>
      <c r="BE178" s="15"/>
      <c r="BF178" s="15"/>
      <c r="BG178" s="15"/>
      <c r="BH178" s="15"/>
      <c r="BI178" s="15"/>
      <c r="BJ178" s="15"/>
      <c r="BK178" s="23"/>
      <c r="BL178" s="21"/>
    </row>
    <row r="179" spans="1:64" ht="19.5" customHeight="1" x14ac:dyDescent="0.25">
      <c r="A179" s="20"/>
      <c r="B179" s="20"/>
      <c r="C179" s="20"/>
      <c r="D179" s="20"/>
      <c r="E179" s="20"/>
      <c r="F179" s="20"/>
      <c r="G179" s="20"/>
      <c r="H179" s="20"/>
      <c r="I179" s="20"/>
      <c r="J179" s="20"/>
      <c r="K179" s="19"/>
      <c r="L179" s="24"/>
      <c r="M179" s="20"/>
      <c r="N179" s="20"/>
      <c r="O179" s="19"/>
      <c r="P179" s="23"/>
      <c r="Q179" s="23"/>
      <c r="R179" s="21"/>
      <c r="S179" s="23"/>
      <c r="T179" s="23"/>
      <c r="U179" s="23"/>
      <c r="V179" s="23"/>
      <c r="W179" s="23"/>
      <c r="X179" s="21"/>
      <c r="Y179" s="21"/>
      <c r="Z179" s="21"/>
      <c r="AA179" s="23"/>
      <c r="AB179" s="23"/>
      <c r="AC179" s="20"/>
      <c r="AD179" s="20"/>
      <c r="AE179" s="23"/>
      <c r="AF179" s="23"/>
      <c r="AG179" s="23"/>
      <c r="AH179" s="23"/>
      <c r="AI179" s="23"/>
      <c r="AJ179" s="23"/>
      <c r="AK179" s="23"/>
      <c r="AL179" s="15"/>
      <c r="AM179" s="23"/>
      <c r="AN179" s="23"/>
      <c r="AO179" s="23"/>
      <c r="AP179" s="20"/>
      <c r="AQ179" s="20"/>
      <c r="AR179" s="20"/>
      <c r="AS179" s="15"/>
      <c r="AT179" s="15"/>
      <c r="AU179" s="15"/>
      <c r="AV179" s="15"/>
      <c r="AW179" s="15"/>
      <c r="AX179" s="15"/>
      <c r="AY179" s="15"/>
      <c r="AZ179" s="15"/>
      <c r="BA179" s="15"/>
      <c r="BB179" s="15"/>
      <c r="BC179" s="15"/>
      <c r="BD179" s="15"/>
      <c r="BE179" s="15"/>
      <c r="BF179" s="15"/>
      <c r="BG179" s="15"/>
      <c r="BH179" s="15"/>
      <c r="BI179" s="15"/>
      <c r="BJ179" s="15"/>
      <c r="BK179" s="23"/>
      <c r="BL179" s="21"/>
    </row>
    <row r="180" spans="1:64" ht="19.5" customHeight="1" x14ac:dyDescent="0.25">
      <c r="A180" s="20"/>
      <c r="B180" s="20"/>
      <c r="C180" s="20"/>
      <c r="D180" s="20"/>
      <c r="E180" s="20"/>
      <c r="F180" s="20"/>
      <c r="G180" s="20"/>
      <c r="H180" s="20"/>
      <c r="I180" s="20"/>
      <c r="J180" s="20"/>
      <c r="K180" s="19"/>
      <c r="L180" s="24"/>
      <c r="M180" s="20"/>
      <c r="N180" s="20"/>
      <c r="O180" s="19"/>
      <c r="P180" s="23"/>
      <c r="Q180" s="23"/>
      <c r="R180" s="21"/>
      <c r="S180" s="23"/>
      <c r="T180" s="23"/>
      <c r="U180" s="23"/>
      <c r="V180" s="23"/>
      <c r="W180" s="23"/>
      <c r="X180" s="21"/>
      <c r="Y180" s="21"/>
      <c r="Z180" s="21"/>
      <c r="AA180" s="23"/>
      <c r="AB180" s="23"/>
      <c r="AC180" s="20"/>
      <c r="AD180" s="20"/>
      <c r="AE180" s="23"/>
      <c r="AF180" s="23"/>
      <c r="AG180" s="23"/>
      <c r="AH180" s="23"/>
      <c r="AI180" s="23"/>
      <c r="AJ180" s="23"/>
      <c r="AK180" s="23"/>
      <c r="AL180" s="15"/>
      <c r="AM180" s="23"/>
      <c r="AN180" s="23"/>
      <c r="AO180" s="23"/>
      <c r="AP180" s="20"/>
      <c r="AQ180" s="20"/>
      <c r="AR180" s="20"/>
      <c r="AS180" s="15"/>
      <c r="AT180" s="15"/>
      <c r="AU180" s="15"/>
      <c r="AV180" s="15"/>
      <c r="AW180" s="15"/>
      <c r="AX180" s="15"/>
      <c r="AY180" s="15"/>
      <c r="AZ180" s="15"/>
      <c r="BA180" s="15"/>
      <c r="BB180" s="15"/>
      <c r="BC180" s="15"/>
      <c r="BD180" s="15"/>
      <c r="BE180" s="15"/>
      <c r="BF180" s="15"/>
      <c r="BG180" s="15"/>
      <c r="BH180" s="15"/>
      <c r="BI180" s="15"/>
      <c r="BJ180" s="15"/>
      <c r="BK180" s="23"/>
      <c r="BL180" s="21"/>
    </row>
    <row r="181" spans="1:64" ht="19.5" customHeight="1" x14ac:dyDescent="0.25">
      <c r="A181" s="20"/>
      <c r="B181" s="20"/>
      <c r="C181" s="20"/>
      <c r="D181" s="20"/>
      <c r="E181" s="20"/>
      <c r="F181" s="20"/>
      <c r="G181" s="20"/>
      <c r="H181" s="20"/>
      <c r="I181" s="20"/>
      <c r="J181" s="20"/>
      <c r="K181" s="19"/>
      <c r="L181" s="24"/>
      <c r="M181" s="20"/>
      <c r="N181" s="20"/>
      <c r="O181" s="19"/>
      <c r="P181" s="23"/>
      <c r="Q181" s="23"/>
      <c r="R181" s="21"/>
      <c r="S181" s="23"/>
      <c r="T181" s="23"/>
      <c r="U181" s="23"/>
      <c r="V181" s="23"/>
      <c r="W181" s="23"/>
      <c r="X181" s="21"/>
      <c r="Y181" s="21"/>
      <c r="Z181" s="21"/>
      <c r="AA181" s="23"/>
      <c r="AB181" s="23"/>
      <c r="AC181" s="20"/>
      <c r="AD181" s="20"/>
      <c r="AE181" s="23"/>
      <c r="AF181" s="23"/>
      <c r="AG181" s="23"/>
      <c r="AH181" s="23"/>
      <c r="AI181" s="23"/>
      <c r="AJ181" s="23"/>
      <c r="AK181" s="23"/>
      <c r="AL181" s="15"/>
      <c r="AM181" s="23"/>
      <c r="AN181" s="23"/>
      <c r="AO181" s="23"/>
      <c r="AP181" s="20"/>
      <c r="AQ181" s="20"/>
      <c r="AR181" s="20"/>
      <c r="AS181" s="15"/>
      <c r="AT181" s="15"/>
      <c r="AU181" s="15"/>
      <c r="AV181" s="15"/>
      <c r="AW181" s="15"/>
      <c r="AX181" s="15"/>
      <c r="AY181" s="15"/>
      <c r="AZ181" s="15"/>
      <c r="BA181" s="15"/>
      <c r="BB181" s="15"/>
      <c r="BC181" s="15"/>
      <c r="BD181" s="15"/>
      <c r="BE181" s="15"/>
      <c r="BF181" s="15"/>
      <c r="BG181" s="15"/>
      <c r="BH181" s="15"/>
      <c r="BI181" s="15"/>
      <c r="BJ181" s="15"/>
      <c r="BK181" s="23"/>
      <c r="BL181" s="21"/>
    </row>
    <row r="182" spans="1:64" ht="19.5" customHeight="1" x14ac:dyDescent="0.25">
      <c r="A182" s="20"/>
      <c r="B182" s="20"/>
      <c r="C182" s="20"/>
      <c r="D182" s="20"/>
      <c r="E182" s="20"/>
      <c r="F182" s="20"/>
      <c r="G182" s="20"/>
      <c r="H182" s="20"/>
      <c r="I182" s="20"/>
      <c r="J182" s="20"/>
      <c r="K182" s="19"/>
      <c r="L182" s="24"/>
      <c r="M182" s="20"/>
      <c r="N182" s="20"/>
      <c r="O182" s="19"/>
      <c r="P182" s="23"/>
      <c r="Q182" s="23"/>
      <c r="R182" s="21"/>
      <c r="S182" s="23"/>
      <c r="T182" s="23"/>
      <c r="U182" s="23"/>
      <c r="V182" s="23"/>
      <c r="W182" s="23"/>
      <c r="X182" s="21"/>
      <c r="Y182" s="21"/>
      <c r="Z182" s="21"/>
      <c r="AA182" s="23"/>
      <c r="AB182" s="23"/>
      <c r="AC182" s="20"/>
      <c r="AD182" s="20"/>
      <c r="AE182" s="23"/>
      <c r="AF182" s="23"/>
      <c r="AG182" s="23"/>
      <c r="AH182" s="23"/>
      <c r="AI182" s="23"/>
      <c r="AJ182" s="23"/>
      <c r="AK182" s="23"/>
      <c r="AL182" s="15"/>
      <c r="AM182" s="23"/>
      <c r="AN182" s="23"/>
      <c r="AO182" s="23"/>
      <c r="AP182" s="20"/>
      <c r="AQ182" s="20"/>
      <c r="AR182" s="20"/>
      <c r="AS182" s="15"/>
      <c r="AT182" s="15"/>
      <c r="AU182" s="15"/>
      <c r="AV182" s="15"/>
      <c r="AW182" s="15"/>
      <c r="AX182" s="15"/>
      <c r="AY182" s="15"/>
      <c r="AZ182" s="15"/>
      <c r="BA182" s="15"/>
      <c r="BB182" s="15"/>
      <c r="BC182" s="15"/>
      <c r="BD182" s="15"/>
      <c r="BE182" s="15"/>
      <c r="BF182" s="15"/>
      <c r="BG182" s="15"/>
      <c r="BH182" s="15"/>
      <c r="BI182" s="15"/>
      <c r="BJ182" s="15"/>
      <c r="BK182" s="23"/>
      <c r="BL182" s="21"/>
    </row>
    <row r="183" spans="1:64" ht="19.5" customHeight="1" x14ac:dyDescent="0.25">
      <c r="A183" s="20"/>
      <c r="B183" s="20"/>
      <c r="C183" s="20"/>
      <c r="D183" s="20"/>
      <c r="E183" s="20"/>
      <c r="F183" s="20"/>
      <c r="G183" s="20"/>
      <c r="H183" s="20"/>
      <c r="I183" s="20"/>
      <c r="J183" s="20"/>
      <c r="K183" s="19"/>
      <c r="L183" s="24"/>
      <c r="M183" s="20"/>
      <c r="N183" s="20"/>
      <c r="O183" s="19"/>
      <c r="P183" s="23"/>
      <c r="Q183" s="23"/>
      <c r="R183" s="21"/>
      <c r="S183" s="23"/>
      <c r="T183" s="23"/>
      <c r="U183" s="23"/>
      <c r="V183" s="23"/>
      <c r="W183" s="23"/>
      <c r="X183" s="21"/>
      <c r="Y183" s="21"/>
      <c r="Z183" s="21"/>
      <c r="AA183" s="23"/>
      <c r="AB183" s="23"/>
      <c r="AC183" s="20"/>
      <c r="AD183" s="20"/>
      <c r="AE183" s="23"/>
      <c r="AF183" s="23"/>
      <c r="AG183" s="23"/>
      <c r="AH183" s="23"/>
      <c r="AI183" s="23"/>
      <c r="AJ183" s="23"/>
      <c r="AK183" s="23"/>
      <c r="AL183" s="15"/>
      <c r="AM183" s="23"/>
      <c r="AN183" s="23"/>
      <c r="AO183" s="23"/>
      <c r="AP183" s="20"/>
      <c r="AQ183" s="20"/>
      <c r="AR183" s="20"/>
      <c r="AS183" s="15"/>
      <c r="AT183" s="15"/>
      <c r="AU183" s="15"/>
      <c r="AV183" s="15"/>
      <c r="AW183" s="15"/>
      <c r="AX183" s="15"/>
      <c r="AY183" s="15"/>
      <c r="AZ183" s="15"/>
      <c r="BA183" s="15"/>
      <c r="BB183" s="15"/>
      <c r="BC183" s="15"/>
      <c r="BD183" s="15"/>
      <c r="BE183" s="15"/>
      <c r="BF183" s="15"/>
      <c r="BG183" s="15"/>
      <c r="BH183" s="15"/>
      <c r="BI183" s="15"/>
      <c r="BJ183" s="15"/>
      <c r="BK183" s="23"/>
      <c r="BL183" s="21"/>
    </row>
    <row r="184" spans="1:64" ht="19.5" customHeight="1" x14ac:dyDescent="0.25">
      <c r="A184" s="20"/>
      <c r="B184" s="20"/>
      <c r="C184" s="20"/>
      <c r="D184" s="20"/>
      <c r="E184" s="20"/>
      <c r="F184" s="20"/>
      <c r="G184" s="20"/>
      <c r="H184" s="20"/>
      <c r="I184" s="20"/>
      <c r="J184" s="20"/>
      <c r="K184" s="19"/>
      <c r="L184" s="24"/>
      <c r="M184" s="20"/>
      <c r="N184" s="20"/>
      <c r="O184" s="19"/>
      <c r="P184" s="23"/>
      <c r="Q184" s="23"/>
      <c r="R184" s="21"/>
      <c r="S184" s="23"/>
      <c r="T184" s="23"/>
      <c r="U184" s="23"/>
      <c r="V184" s="23"/>
      <c r="W184" s="23"/>
      <c r="X184" s="21"/>
      <c r="Y184" s="21"/>
      <c r="Z184" s="21"/>
      <c r="AA184" s="23"/>
      <c r="AB184" s="23"/>
      <c r="AC184" s="20"/>
      <c r="AD184" s="20"/>
      <c r="AE184" s="23"/>
      <c r="AF184" s="23"/>
      <c r="AG184" s="23"/>
      <c r="AH184" s="23"/>
      <c r="AI184" s="23"/>
      <c r="AJ184" s="23"/>
      <c r="AK184" s="23"/>
      <c r="AL184" s="15"/>
      <c r="AM184" s="23"/>
      <c r="AN184" s="23"/>
      <c r="AO184" s="23"/>
      <c r="AP184" s="20"/>
      <c r="AQ184" s="20"/>
      <c r="AR184" s="20"/>
      <c r="AS184" s="15"/>
      <c r="AT184" s="15"/>
      <c r="AU184" s="15"/>
      <c r="AV184" s="15"/>
      <c r="AW184" s="15"/>
      <c r="AX184" s="15"/>
      <c r="AY184" s="15"/>
      <c r="AZ184" s="15"/>
      <c r="BA184" s="15"/>
      <c r="BB184" s="15"/>
      <c r="BC184" s="15"/>
      <c r="BD184" s="15"/>
      <c r="BE184" s="15"/>
      <c r="BF184" s="15"/>
      <c r="BG184" s="15"/>
      <c r="BH184" s="15"/>
      <c r="BI184" s="15"/>
      <c r="BJ184" s="15"/>
      <c r="BK184" s="23"/>
      <c r="BL184" s="21"/>
    </row>
    <row r="185" spans="1:64" ht="19.5" customHeight="1" x14ac:dyDescent="0.25">
      <c r="A185" s="20"/>
      <c r="B185" s="20"/>
      <c r="C185" s="20"/>
      <c r="D185" s="20"/>
      <c r="E185" s="20"/>
      <c r="F185" s="20"/>
      <c r="G185" s="20"/>
      <c r="H185" s="20"/>
      <c r="I185" s="20"/>
      <c r="J185" s="20"/>
      <c r="K185" s="19"/>
      <c r="L185" s="24"/>
      <c r="M185" s="20"/>
      <c r="N185" s="20"/>
      <c r="O185" s="19"/>
      <c r="P185" s="23"/>
      <c r="Q185" s="23"/>
      <c r="R185" s="21"/>
      <c r="S185" s="23"/>
      <c r="T185" s="23"/>
      <c r="U185" s="23"/>
      <c r="V185" s="23"/>
      <c r="W185" s="23"/>
      <c r="X185" s="21"/>
      <c r="Y185" s="21"/>
      <c r="Z185" s="21"/>
      <c r="AA185" s="23"/>
      <c r="AB185" s="23"/>
      <c r="AC185" s="20"/>
      <c r="AD185" s="20"/>
      <c r="AE185" s="23"/>
      <c r="AF185" s="23"/>
      <c r="AG185" s="23"/>
      <c r="AH185" s="23"/>
      <c r="AI185" s="23"/>
      <c r="AJ185" s="23"/>
      <c r="AK185" s="23"/>
      <c r="AL185" s="15"/>
      <c r="AM185" s="23"/>
      <c r="AN185" s="23"/>
      <c r="AO185" s="23"/>
      <c r="AP185" s="20"/>
      <c r="AQ185" s="20"/>
      <c r="AR185" s="20"/>
      <c r="AS185" s="15"/>
      <c r="AT185" s="15"/>
      <c r="AU185" s="15"/>
      <c r="AV185" s="15"/>
      <c r="AW185" s="15"/>
      <c r="AX185" s="15"/>
      <c r="AY185" s="15"/>
      <c r="AZ185" s="15"/>
      <c r="BA185" s="15"/>
      <c r="BB185" s="15"/>
      <c r="BC185" s="15"/>
      <c r="BD185" s="15"/>
      <c r="BE185" s="15"/>
      <c r="BF185" s="15"/>
      <c r="BG185" s="15"/>
      <c r="BH185" s="15"/>
      <c r="BI185" s="15"/>
      <c r="BJ185" s="15"/>
      <c r="BK185" s="23"/>
      <c r="BL185" s="21"/>
    </row>
    <row r="186" spans="1:64" ht="19.5" customHeight="1" x14ac:dyDescent="0.25">
      <c r="A186" s="20"/>
      <c r="B186" s="20"/>
      <c r="C186" s="20"/>
      <c r="D186" s="20"/>
      <c r="E186" s="20"/>
      <c r="F186" s="20"/>
      <c r="G186" s="20"/>
      <c r="H186" s="20"/>
      <c r="I186" s="20"/>
      <c r="J186" s="20"/>
      <c r="K186" s="19"/>
      <c r="L186" s="24"/>
      <c r="M186" s="20"/>
      <c r="N186" s="20"/>
      <c r="O186" s="19"/>
      <c r="P186" s="23"/>
      <c r="Q186" s="23"/>
      <c r="R186" s="21"/>
      <c r="S186" s="23"/>
      <c r="T186" s="23"/>
      <c r="U186" s="23"/>
      <c r="V186" s="23"/>
      <c r="W186" s="23"/>
      <c r="X186" s="21"/>
      <c r="Y186" s="21"/>
      <c r="Z186" s="21"/>
      <c r="AA186" s="23"/>
      <c r="AB186" s="23"/>
      <c r="AC186" s="20"/>
      <c r="AD186" s="20"/>
      <c r="AE186" s="23"/>
      <c r="AF186" s="23"/>
      <c r="AG186" s="23"/>
      <c r="AH186" s="23"/>
      <c r="AI186" s="23"/>
      <c r="AJ186" s="23"/>
      <c r="AK186" s="23"/>
      <c r="AL186" s="15"/>
      <c r="AM186" s="23"/>
      <c r="AN186" s="23"/>
      <c r="AO186" s="23"/>
      <c r="AP186" s="20"/>
      <c r="AQ186" s="20"/>
      <c r="AR186" s="20"/>
      <c r="AS186" s="15"/>
      <c r="AT186" s="15"/>
      <c r="AU186" s="15"/>
      <c r="AV186" s="15"/>
      <c r="AW186" s="15"/>
      <c r="AX186" s="15"/>
      <c r="AY186" s="15"/>
      <c r="AZ186" s="15"/>
      <c r="BA186" s="15"/>
      <c r="BB186" s="15"/>
      <c r="BC186" s="15"/>
      <c r="BD186" s="15"/>
      <c r="BE186" s="15"/>
      <c r="BF186" s="15"/>
      <c r="BG186" s="15"/>
      <c r="BH186" s="15"/>
      <c r="BI186" s="15"/>
      <c r="BJ186" s="15"/>
      <c r="BK186" s="23"/>
      <c r="BL186" s="21"/>
    </row>
    <row r="187" spans="1:64" ht="19.5" customHeight="1" x14ac:dyDescent="0.25">
      <c r="A187" s="20"/>
      <c r="B187" s="20"/>
      <c r="C187" s="20"/>
      <c r="D187" s="20"/>
      <c r="E187" s="20"/>
      <c r="F187" s="20"/>
      <c r="G187" s="20"/>
      <c r="H187" s="20"/>
      <c r="I187" s="20"/>
      <c r="J187" s="20"/>
      <c r="K187" s="19"/>
      <c r="L187" s="24"/>
      <c r="M187" s="20"/>
      <c r="N187" s="20"/>
      <c r="O187" s="19"/>
      <c r="P187" s="23"/>
      <c r="Q187" s="23"/>
      <c r="R187" s="21"/>
      <c r="S187" s="23"/>
      <c r="T187" s="23"/>
      <c r="U187" s="23"/>
      <c r="V187" s="23"/>
      <c r="W187" s="23"/>
      <c r="X187" s="21"/>
      <c r="Y187" s="21"/>
      <c r="Z187" s="21"/>
      <c r="AA187" s="23"/>
      <c r="AB187" s="23"/>
      <c r="AC187" s="20"/>
      <c r="AD187" s="20"/>
      <c r="AE187" s="23"/>
      <c r="AF187" s="23"/>
      <c r="AG187" s="23"/>
      <c r="AH187" s="23"/>
      <c r="AI187" s="23"/>
      <c r="AJ187" s="23"/>
      <c r="AK187" s="23"/>
      <c r="AL187" s="15"/>
      <c r="AM187" s="23"/>
      <c r="AN187" s="23"/>
      <c r="AO187" s="23"/>
      <c r="AP187" s="20"/>
      <c r="AQ187" s="20"/>
      <c r="AR187" s="20"/>
      <c r="AS187" s="15"/>
      <c r="AT187" s="15"/>
      <c r="AU187" s="15"/>
      <c r="AV187" s="15"/>
      <c r="AW187" s="15"/>
      <c r="AX187" s="15"/>
      <c r="AY187" s="15"/>
      <c r="AZ187" s="15"/>
      <c r="BA187" s="15"/>
      <c r="BB187" s="15"/>
      <c r="BC187" s="15"/>
      <c r="BD187" s="15"/>
      <c r="BE187" s="15"/>
      <c r="BF187" s="15"/>
      <c r="BG187" s="15"/>
      <c r="BH187" s="15"/>
      <c r="BI187" s="15"/>
      <c r="BJ187" s="15"/>
      <c r="BK187" s="23"/>
      <c r="BL187" s="21"/>
    </row>
    <row r="188" spans="1:64" ht="19.5" customHeight="1" x14ac:dyDescent="0.25">
      <c r="A188" s="20"/>
      <c r="B188" s="20"/>
      <c r="C188" s="20"/>
      <c r="D188" s="20"/>
      <c r="E188" s="20"/>
      <c r="F188" s="20"/>
      <c r="G188" s="20"/>
      <c r="H188" s="20"/>
      <c r="I188" s="20"/>
      <c r="J188" s="20"/>
      <c r="K188" s="19"/>
      <c r="L188" s="24"/>
      <c r="M188" s="20"/>
      <c r="N188" s="20"/>
      <c r="O188" s="19"/>
      <c r="P188" s="23"/>
      <c r="Q188" s="23"/>
      <c r="R188" s="21"/>
      <c r="S188" s="23"/>
      <c r="T188" s="23"/>
      <c r="U188" s="23"/>
      <c r="V188" s="23"/>
      <c r="W188" s="23"/>
      <c r="X188" s="21"/>
      <c r="Y188" s="21"/>
      <c r="Z188" s="21"/>
      <c r="AA188" s="23"/>
      <c r="AB188" s="23"/>
      <c r="AC188" s="20"/>
      <c r="AD188" s="20"/>
      <c r="AE188" s="23"/>
      <c r="AF188" s="23"/>
      <c r="AG188" s="23"/>
      <c r="AH188" s="23"/>
      <c r="AI188" s="23"/>
      <c r="AJ188" s="23"/>
      <c r="AK188" s="23"/>
      <c r="AL188" s="15"/>
      <c r="AM188" s="23"/>
      <c r="AN188" s="23"/>
      <c r="AO188" s="23"/>
      <c r="AP188" s="20"/>
      <c r="AQ188" s="20"/>
      <c r="AR188" s="20"/>
      <c r="AS188" s="15"/>
      <c r="AT188" s="15"/>
      <c r="AU188" s="15"/>
      <c r="AV188" s="15"/>
      <c r="AW188" s="15"/>
      <c r="AX188" s="15"/>
      <c r="AY188" s="15"/>
      <c r="AZ188" s="15"/>
      <c r="BA188" s="15"/>
      <c r="BB188" s="15"/>
      <c r="BC188" s="15"/>
      <c r="BD188" s="15"/>
      <c r="BE188" s="15"/>
      <c r="BF188" s="15"/>
      <c r="BG188" s="15"/>
      <c r="BH188" s="15"/>
      <c r="BI188" s="15"/>
      <c r="BJ188" s="15"/>
      <c r="BK188" s="23"/>
      <c r="BL188" s="21"/>
    </row>
    <row r="189" spans="1:64" ht="19.5" customHeight="1" x14ac:dyDescent="0.25">
      <c r="A189" s="20"/>
      <c r="B189" s="20"/>
      <c r="C189" s="20"/>
      <c r="D189" s="20"/>
      <c r="E189" s="20"/>
      <c r="F189" s="20"/>
      <c r="G189" s="20"/>
      <c r="H189" s="20"/>
      <c r="I189" s="20"/>
      <c r="J189" s="20"/>
      <c r="K189" s="19"/>
      <c r="L189" s="24"/>
      <c r="M189" s="20"/>
      <c r="N189" s="20"/>
      <c r="O189" s="19"/>
      <c r="P189" s="23"/>
      <c r="Q189" s="23"/>
      <c r="R189" s="21"/>
      <c r="S189" s="23"/>
      <c r="T189" s="23"/>
      <c r="U189" s="23"/>
      <c r="V189" s="23"/>
      <c r="W189" s="23"/>
      <c r="X189" s="21"/>
      <c r="Y189" s="21"/>
      <c r="Z189" s="21"/>
      <c r="AA189" s="23"/>
      <c r="AB189" s="23"/>
      <c r="AC189" s="20"/>
      <c r="AD189" s="20"/>
      <c r="AE189" s="23"/>
      <c r="AF189" s="23"/>
      <c r="AG189" s="23"/>
      <c r="AH189" s="23"/>
      <c r="AI189" s="23"/>
      <c r="AJ189" s="23"/>
      <c r="AK189" s="23"/>
      <c r="AL189" s="15"/>
      <c r="AM189" s="23"/>
      <c r="AN189" s="23"/>
      <c r="AO189" s="23"/>
      <c r="AP189" s="20"/>
      <c r="AQ189" s="20"/>
      <c r="AR189" s="20"/>
      <c r="AS189" s="15"/>
      <c r="AT189" s="15"/>
      <c r="AU189" s="15"/>
      <c r="AV189" s="15"/>
      <c r="AW189" s="15"/>
      <c r="AX189" s="15"/>
      <c r="AY189" s="15"/>
      <c r="AZ189" s="15"/>
      <c r="BA189" s="15"/>
      <c r="BB189" s="15"/>
      <c r="BC189" s="15"/>
      <c r="BD189" s="15"/>
      <c r="BE189" s="15"/>
      <c r="BF189" s="15"/>
      <c r="BG189" s="15"/>
      <c r="BH189" s="15"/>
      <c r="BI189" s="15"/>
      <c r="BJ189" s="15"/>
      <c r="BK189" s="23"/>
      <c r="BL189" s="21"/>
    </row>
    <row r="190" spans="1:64" ht="19.5" customHeight="1" x14ac:dyDescent="0.25">
      <c r="A190" s="20"/>
      <c r="B190" s="20"/>
      <c r="C190" s="20"/>
      <c r="D190" s="20"/>
      <c r="E190" s="20"/>
      <c r="F190" s="20"/>
      <c r="G190" s="20"/>
      <c r="H190" s="20"/>
      <c r="I190" s="20"/>
      <c r="J190" s="20"/>
      <c r="K190" s="19"/>
      <c r="L190" s="24"/>
      <c r="M190" s="20"/>
      <c r="N190" s="20"/>
      <c r="O190" s="19"/>
      <c r="P190" s="23"/>
      <c r="Q190" s="23"/>
      <c r="R190" s="21"/>
      <c r="S190" s="23"/>
      <c r="T190" s="23"/>
      <c r="U190" s="23"/>
      <c r="V190" s="23"/>
      <c r="W190" s="23"/>
      <c r="X190" s="21"/>
      <c r="Y190" s="21"/>
      <c r="Z190" s="21"/>
      <c r="AA190" s="23"/>
      <c r="AB190" s="23"/>
      <c r="AC190" s="20"/>
      <c r="AD190" s="20"/>
      <c r="AE190" s="23"/>
      <c r="AF190" s="23"/>
      <c r="AG190" s="23"/>
      <c r="AH190" s="23"/>
      <c r="AI190" s="23"/>
      <c r="AJ190" s="23"/>
      <c r="AK190" s="23"/>
      <c r="AL190" s="15"/>
      <c r="AM190" s="23"/>
      <c r="AN190" s="23"/>
      <c r="AO190" s="23"/>
      <c r="AP190" s="20"/>
      <c r="AQ190" s="20"/>
      <c r="AR190" s="20"/>
      <c r="AS190" s="15"/>
      <c r="AT190" s="15"/>
      <c r="AU190" s="15"/>
      <c r="AV190" s="15"/>
      <c r="AW190" s="15"/>
      <c r="AX190" s="15"/>
      <c r="AY190" s="15"/>
      <c r="AZ190" s="15"/>
      <c r="BA190" s="15"/>
      <c r="BB190" s="15"/>
      <c r="BC190" s="15"/>
      <c r="BD190" s="15"/>
      <c r="BE190" s="15"/>
      <c r="BF190" s="15"/>
      <c r="BG190" s="15"/>
      <c r="BH190" s="15"/>
      <c r="BI190" s="15"/>
      <c r="BJ190" s="15"/>
      <c r="BK190" s="23"/>
      <c r="BL190" s="21"/>
    </row>
    <row r="191" spans="1:64" ht="19.5" customHeight="1" x14ac:dyDescent="0.25">
      <c r="A191" s="20"/>
      <c r="B191" s="20"/>
      <c r="C191" s="20"/>
      <c r="D191" s="20"/>
      <c r="E191" s="20"/>
      <c r="F191" s="20"/>
      <c r="G191" s="20"/>
      <c r="H191" s="20"/>
      <c r="I191" s="20"/>
      <c r="J191" s="20"/>
      <c r="K191" s="19"/>
      <c r="L191" s="24"/>
      <c r="M191" s="20"/>
      <c r="N191" s="20"/>
      <c r="O191" s="19"/>
      <c r="P191" s="23"/>
      <c r="Q191" s="23"/>
      <c r="R191" s="21"/>
      <c r="S191" s="23"/>
      <c r="T191" s="23"/>
      <c r="U191" s="23"/>
      <c r="V191" s="23"/>
      <c r="W191" s="23"/>
      <c r="X191" s="21"/>
      <c r="Y191" s="21"/>
      <c r="Z191" s="21"/>
      <c r="AA191" s="23"/>
      <c r="AB191" s="23"/>
      <c r="AC191" s="20"/>
      <c r="AD191" s="20"/>
      <c r="AE191" s="23"/>
      <c r="AF191" s="23"/>
      <c r="AG191" s="23"/>
      <c r="AH191" s="23"/>
      <c r="AI191" s="23"/>
      <c r="AJ191" s="23"/>
      <c r="AK191" s="23"/>
      <c r="AL191" s="15"/>
      <c r="AM191" s="23"/>
      <c r="AN191" s="23"/>
      <c r="AO191" s="23"/>
      <c r="AP191" s="20"/>
      <c r="AQ191" s="20"/>
      <c r="AR191" s="20"/>
      <c r="AS191" s="15"/>
      <c r="AT191" s="15"/>
      <c r="AU191" s="15"/>
      <c r="AV191" s="15"/>
      <c r="AW191" s="15"/>
      <c r="AX191" s="15"/>
      <c r="AY191" s="15"/>
      <c r="AZ191" s="15"/>
      <c r="BA191" s="15"/>
      <c r="BB191" s="15"/>
      <c r="BC191" s="15"/>
      <c r="BD191" s="15"/>
      <c r="BE191" s="15"/>
      <c r="BF191" s="15"/>
      <c r="BG191" s="15"/>
      <c r="BH191" s="15"/>
      <c r="BI191" s="15"/>
      <c r="BJ191" s="15"/>
      <c r="BK191" s="23"/>
      <c r="BL191" s="21"/>
    </row>
    <row r="192" spans="1:64" ht="19.5" customHeight="1" x14ac:dyDescent="0.25">
      <c r="A192" s="20"/>
      <c r="B192" s="20"/>
      <c r="C192" s="20"/>
      <c r="D192" s="20"/>
      <c r="E192" s="20"/>
      <c r="F192" s="20"/>
      <c r="G192" s="20"/>
      <c r="H192" s="20"/>
      <c r="I192" s="20"/>
      <c r="J192" s="20"/>
      <c r="K192" s="19"/>
      <c r="L192" s="24"/>
      <c r="M192" s="20"/>
      <c r="N192" s="20"/>
      <c r="O192" s="19"/>
      <c r="P192" s="23"/>
      <c r="Q192" s="23"/>
      <c r="R192" s="21"/>
      <c r="S192" s="23"/>
      <c r="T192" s="23"/>
      <c r="U192" s="23"/>
      <c r="V192" s="23"/>
      <c r="W192" s="23"/>
      <c r="X192" s="21"/>
      <c r="Y192" s="21"/>
      <c r="Z192" s="21"/>
      <c r="AA192" s="23"/>
      <c r="AB192" s="23"/>
      <c r="AC192" s="20"/>
      <c r="AD192" s="20"/>
      <c r="AE192" s="23"/>
      <c r="AF192" s="23"/>
      <c r="AG192" s="23"/>
      <c r="AH192" s="23"/>
      <c r="AI192" s="23"/>
      <c r="AJ192" s="23"/>
      <c r="AK192" s="23"/>
      <c r="AL192" s="15"/>
      <c r="AM192" s="23"/>
      <c r="AN192" s="23"/>
      <c r="AO192" s="23"/>
      <c r="AP192" s="20"/>
      <c r="AQ192" s="20"/>
      <c r="AR192" s="20"/>
      <c r="AS192" s="15"/>
      <c r="AT192" s="15"/>
      <c r="AU192" s="15"/>
      <c r="AV192" s="15"/>
      <c r="AW192" s="15"/>
      <c r="AX192" s="15"/>
      <c r="AY192" s="15"/>
      <c r="AZ192" s="15"/>
      <c r="BA192" s="15"/>
      <c r="BB192" s="15"/>
      <c r="BC192" s="15"/>
      <c r="BD192" s="15"/>
      <c r="BE192" s="15"/>
      <c r="BF192" s="15"/>
      <c r="BG192" s="15"/>
      <c r="BH192" s="15"/>
      <c r="BI192" s="15"/>
      <c r="BJ192" s="15"/>
      <c r="BK192" s="23"/>
      <c r="BL192" s="21"/>
    </row>
    <row r="193" spans="1:64" ht="19.5" customHeight="1" x14ac:dyDescent="0.25">
      <c r="A193" s="20"/>
      <c r="B193" s="20"/>
      <c r="C193" s="20"/>
      <c r="D193" s="20"/>
      <c r="E193" s="20"/>
      <c r="F193" s="20"/>
      <c r="G193" s="20"/>
      <c r="H193" s="20"/>
      <c r="I193" s="20"/>
      <c r="J193" s="20"/>
      <c r="K193" s="19"/>
      <c r="L193" s="24"/>
      <c r="M193" s="20"/>
      <c r="N193" s="20"/>
      <c r="O193" s="19"/>
      <c r="P193" s="23"/>
      <c r="Q193" s="23"/>
      <c r="R193" s="21"/>
      <c r="S193" s="23"/>
      <c r="T193" s="23"/>
      <c r="U193" s="23"/>
      <c r="V193" s="23"/>
      <c r="W193" s="23"/>
      <c r="X193" s="21"/>
      <c r="Y193" s="21"/>
      <c r="Z193" s="21"/>
      <c r="AA193" s="23"/>
      <c r="AB193" s="23"/>
      <c r="AC193" s="20"/>
      <c r="AD193" s="20"/>
      <c r="AE193" s="23"/>
      <c r="AF193" s="23"/>
      <c r="AG193" s="23"/>
      <c r="AH193" s="23"/>
      <c r="AI193" s="23"/>
      <c r="AJ193" s="23"/>
      <c r="AK193" s="23"/>
      <c r="AL193" s="15"/>
      <c r="AM193" s="23"/>
      <c r="AN193" s="23"/>
      <c r="AO193" s="23"/>
      <c r="AP193" s="20"/>
      <c r="AQ193" s="20"/>
      <c r="AR193" s="20"/>
      <c r="AS193" s="15"/>
      <c r="AT193" s="15"/>
      <c r="AU193" s="15"/>
      <c r="AV193" s="15"/>
      <c r="AW193" s="15"/>
      <c r="AX193" s="15"/>
      <c r="AY193" s="15"/>
      <c r="AZ193" s="15"/>
      <c r="BA193" s="15"/>
      <c r="BB193" s="15"/>
      <c r="BC193" s="15"/>
      <c r="BD193" s="15"/>
      <c r="BE193" s="15"/>
      <c r="BF193" s="15"/>
      <c r="BG193" s="15"/>
      <c r="BH193" s="15"/>
      <c r="BI193" s="15"/>
      <c r="BJ193" s="15"/>
      <c r="BK193" s="23"/>
      <c r="BL193" s="21"/>
    </row>
    <row r="194" spans="1:64" ht="19.5" customHeight="1" x14ac:dyDescent="0.25">
      <c r="A194" s="20"/>
      <c r="B194" s="20"/>
      <c r="C194" s="20"/>
      <c r="D194" s="20"/>
      <c r="E194" s="20"/>
      <c r="F194" s="20"/>
      <c r="G194" s="20"/>
      <c r="H194" s="20"/>
      <c r="I194" s="20"/>
      <c r="J194" s="20"/>
      <c r="K194" s="19"/>
      <c r="L194" s="24"/>
      <c r="M194" s="20"/>
      <c r="N194" s="20"/>
      <c r="O194" s="19"/>
      <c r="P194" s="23"/>
      <c r="Q194" s="23"/>
      <c r="R194" s="21"/>
      <c r="S194" s="23"/>
      <c r="T194" s="23"/>
      <c r="U194" s="23"/>
      <c r="V194" s="23"/>
      <c r="W194" s="23"/>
      <c r="X194" s="21"/>
      <c r="Y194" s="21"/>
      <c r="Z194" s="21"/>
      <c r="AA194" s="23"/>
      <c r="AB194" s="23"/>
      <c r="AC194" s="20"/>
      <c r="AD194" s="20"/>
      <c r="AE194" s="23"/>
      <c r="AF194" s="23"/>
      <c r="AG194" s="23"/>
      <c r="AH194" s="23"/>
      <c r="AI194" s="23"/>
      <c r="AJ194" s="23"/>
      <c r="AK194" s="23"/>
      <c r="AL194" s="15"/>
      <c r="AM194" s="23"/>
      <c r="AN194" s="23"/>
      <c r="AO194" s="23"/>
      <c r="AP194" s="20"/>
      <c r="AQ194" s="20"/>
      <c r="AR194" s="20"/>
      <c r="AS194" s="15"/>
      <c r="AT194" s="15"/>
      <c r="AU194" s="15"/>
      <c r="AV194" s="15"/>
      <c r="AW194" s="15"/>
      <c r="AX194" s="15"/>
      <c r="AY194" s="15"/>
      <c r="AZ194" s="15"/>
      <c r="BA194" s="15"/>
      <c r="BB194" s="15"/>
      <c r="BC194" s="15"/>
      <c r="BD194" s="15"/>
      <c r="BE194" s="15"/>
      <c r="BF194" s="15"/>
      <c r="BG194" s="15"/>
      <c r="BH194" s="15"/>
      <c r="BI194" s="15"/>
      <c r="BJ194" s="15"/>
      <c r="BK194" s="23"/>
      <c r="BL194" s="21"/>
    </row>
    <row r="195" spans="1:64" ht="19.5" customHeight="1" x14ac:dyDescent="0.25">
      <c r="A195" s="20"/>
      <c r="B195" s="20"/>
      <c r="C195" s="20"/>
      <c r="D195" s="20"/>
      <c r="E195" s="20"/>
      <c r="F195" s="20"/>
      <c r="G195" s="20"/>
      <c r="H195" s="20"/>
      <c r="I195" s="20"/>
      <c r="J195" s="20"/>
      <c r="K195" s="19"/>
      <c r="L195" s="24"/>
      <c r="M195" s="20"/>
      <c r="N195" s="20"/>
      <c r="O195" s="19"/>
      <c r="P195" s="23"/>
      <c r="Q195" s="23"/>
      <c r="R195" s="21"/>
      <c r="S195" s="23"/>
      <c r="T195" s="23"/>
      <c r="U195" s="23"/>
      <c r="V195" s="23"/>
      <c r="W195" s="23"/>
      <c r="X195" s="21"/>
      <c r="Y195" s="21"/>
      <c r="Z195" s="21"/>
      <c r="AA195" s="23"/>
      <c r="AB195" s="23"/>
      <c r="AC195" s="20"/>
      <c r="AD195" s="20"/>
      <c r="AE195" s="23"/>
      <c r="AF195" s="23"/>
      <c r="AG195" s="23"/>
      <c r="AH195" s="23"/>
      <c r="AI195" s="23"/>
      <c r="AJ195" s="23"/>
      <c r="AK195" s="23"/>
      <c r="AL195" s="15"/>
      <c r="AM195" s="23"/>
      <c r="AN195" s="23"/>
      <c r="AO195" s="23"/>
      <c r="AP195" s="20"/>
      <c r="AQ195" s="20"/>
      <c r="AR195" s="20"/>
      <c r="AS195" s="15"/>
      <c r="AT195" s="15"/>
      <c r="AU195" s="15"/>
      <c r="AV195" s="15"/>
      <c r="AW195" s="15"/>
      <c r="AX195" s="15"/>
      <c r="AY195" s="15"/>
      <c r="AZ195" s="15"/>
      <c r="BA195" s="15"/>
      <c r="BB195" s="15"/>
      <c r="BC195" s="15"/>
      <c r="BD195" s="15"/>
      <c r="BE195" s="15"/>
      <c r="BF195" s="15"/>
      <c r="BG195" s="15"/>
      <c r="BH195" s="15"/>
      <c r="BI195" s="15"/>
      <c r="BJ195" s="15"/>
      <c r="BK195" s="23"/>
      <c r="BL195" s="21"/>
    </row>
    <row r="196" spans="1:64" ht="19.5" customHeight="1" x14ac:dyDescent="0.25">
      <c r="A196" s="20"/>
      <c r="B196" s="20"/>
      <c r="C196" s="20"/>
      <c r="D196" s="20"/>
      <c r="E196" s="20"/>
      <c r="F196" s="20"/>
      <c r="G196" s="20"/>
      <c r="H196" s="20"/>
      <c r="I196" s="20"/>
      <c r="J196" s="20"/>
      <c r="K196" s="19"/>
      <c r="L196" s="24"/>
      <c r="M196" s="20"/>
      <c r="N196" s="20"/>
      <c r="O196" s="19"/>
      <c r="P196" s="23"/>
      <c r="Q196" s="23"/>
      <c r="R196" s="21"/>
      <c r="S196" s="23"/>
      <c r="T196" s="23"/>
      <c r="U196" s="23"/>
      <c r="V196" s="23"/>
      <c r="W196" s="23"/>
      <c r="X196" s="21"/>
      <c r="Y196" s="21"/>
      <c r="Z196" s="21"/>
      <c r="AA196" s="23"/>
      <c r="AB196" s="23"/>
      <c r="AC196" s="20"/>
      <c r="AD196" s="20"/>
      <c r="AE196" s="23"/>
      <c r="AF196" s="23"/>
      <c r="AG196" s="23"/>
      <c r="AH196" s="23"/>
      <c r="AI196" s="23"/>
      <c r="AJ196" s="23"/>
      <c r="AK196" s="23"/>
      <c r="AL196" s="15"/>
      <c r="AM196" s="23"/>
      <c r="AN196" s="23"/>
      <c r="AO196" s="23"/>
      <c r="AP196" s="20"/>
      <c r="AQ196" s="20"/>
      <c r="AR196" s="20"/>
      <c r="AS196" s="15"/>
      <c r="AT196" s="15"/>
      <c r="AU196" s="15"/>
      <c r="AV196" s="15"/>
      <c r="AW196" s="15"/>
      <c r="AX196" s="15"/>
      <c r="AY196" s="15"/>
      <c r="AZ196" s="15"/>
      <c r="BA196" s="15"/>
      <c r="BB196" s="15"/>
      <c r="BC196" s="15"/>
      <c r="BD196" s="15"/>
      <c r="BE196" s="15"/>
      <c r="BF196" s="15"/>
      <c r="BG196" s="15"/>
      <c r="BH196" s="15"/>
      <c r="BI196" s="15"/>
      <c r="BJ196" s="15"/>
      <c r="BK196" s="23"/>
      <c r="BL196" s="21"/>
    </row>
    <row r="197" spans="1:64" ht="19.5" customHeight="1" x14ac:dyDescent="0.25">
      <c r="A197" s="20"/>
      <c r="B197" s="20"/>
      <c r="C197" s="20"/>
      <c r="D197" s="20"/>
      <c r="E197" s="20"/>
      <c r="F197" s="20"/>
      <c r="G197" s="20"/>
      <c r="H197" s="20"/>
      <c r="I197" s="20"/>
      <c r="J197" s="20"/>
      <c r="K197" s="19"/>
      <c r="L197" s="24"/>
      <c r="M197" s="20"/>
      <c r="N197" s="20"/>
      <c r="O197" s="19"/>
      <c r="P197" s="23"/>
      <c r="Q197" s="23"/>
      <c r="R197" s="21"/>
      <c r="S197" s="23"/>
      <c r="T197" s="23"/>
      <c r="U197" s="23"/>
      <c r="V197" s="23"/>
      <c r="W197" s="23"/>
      <c r="X197" s="21"/>
      <c r="Y197" s="21"/>
      <c r="Z197" s="21"/>
      <c r="AA197" s="23"/>
      <c r="AB197" s="23"/>
      <c r="AC197" s="20"/>
      <c r="AD197" s="20"/>
      <c r="AE197" s="23"/>
      <c r="AF197" s="23"/>
      <c r="AG197" s="23"/>
      <c r="AH197" s="23"/>
      <c r="AI197" s="23"/>
      <c r="AJ197" s="23"/>
      <c r="AK197" s="23"/>
      <c r="AL197" s="15"/>
      <c r="AM197" s="23"/>
      <c r="AN197" s="23"/>
      <c r="AO197" s="23"/>
      <c r="AP197" s="20"/>
      <c r="AQ197" s="20"/>
      <c r="AR197" s="20"/>
      <c r="AS197" s="15"/>
      <c r="AT197" s="15"/>
      <c r="AU197" s="15"/>
      <c r="AV197" s="15"/>
      <c r="AW197" s="15"/>
      <c r="AX197" s="15"/>
      <c r="AY197" s="15"/>
      <c r="AZ197" s="15"/>
      <c r="BA197" s="15"/>
      <c r="BB197" s="15"/>
      <c r="BC197" s="15"/>
      <c r="BD197" s="15"/>
      <c r="BE197" s="15"/>
      <c r="BF197" s="15"/>
      <c r="BG197" s="15"/>
      <c r="BH197" s="15"/>
      <c r="BI197" s="15"/>
      <c r="BJ197" s="15"/>
      <c r="BK197" s="23"/>
      <c r="BL197" s="21"/>
    </row>
    <row r="198" spans="1:64" ht="19.5" customHeight="1" x14ac:dyDescent="0.25">
      <c r="A198" s="20"/>
      <c r="B198" s="20"/>
      <c r="C198" s="20"/>
      <c r="D198" s="20"/>
      <c r="E198" s="20"/>
      <c r="F198" s="20"/>
      <c r="G198" s="20"/>
      <c r="H198" s="20"/>
      <c r="I198" s="20"/>
      <c r="J198" s="20"/>
      <c r="K198" s="19"/>
      <c r="L198" s="24"/>
      <c r="M198" s="20"/>
      <c r="N198" s="20"/>
      <c r="O198" s="19"/>
      <c r="P198" s="23"/>
      <c r="Q198" s="23"/>
      <c r="R198" s="21"/>
      <c r="S198" s="23"/>
      <c r="T198" s="23"/>
      <c r="U198" s="23"/>
      <c r="V198" s="23"/>
      <c r="W198" s="23"/>
      <c r="X198" s="21"/>
      <c r="Y198" s="21"/>
      <c r="Z198" s="21"/>
      <c r="AA198" s="23"/>
      <c r="AB198" s="23"/>
      <c r="AC198" s="20"/>
      <c r="AD198" s="20"/>
      <c r="AE198" s="23"/>
      <c r="AF198" s="23"/>
      <c r="AG198" s="23"/>
      <c r="AH198" s="23"/>
      <c r="AI198" s="23"/>
      <c r="AJ198" s="23"/>
      <c r="AK198" s="23"/>
      <c r="AL198" s="15"/>
      <c r="AM198" s="23"/>
      <c r="AN198" s="23"/>
      <c r="AO198" s="23"/>
      <c r="AP198" s="20"/>
      <c r="AQ198" s="20"/>
      <c r="AR198" s="20"/>
      <c r="AS198" s="15"/>
      <c r="AT198" s="15"/>
      <c r="AU198" s="15"/>
      <c r="AV198" s="15"/>
      <c r="AW198" s="15"/>
      <c r="AX198" s="15"/>
      <c r="AY198" s="15"/>
      <c r="AZ198" s="15"/>
      <c r="BA198" s="15"/>
      <c r="BB198" s="15"/>
      <c r="BC198" s="15"/>
      <c r="BD198" s="15"/>
      <c r="BE198" s="15"/>
      <c r="BF198" s="15"/>
      <c r="BG198" s="15"/>
      <c r="BH198" s="15"/>
      <c r="BI198" s="15"/>
      <c r="BJ198" s="15"/>
      <c r="BK198" s="23"/>
      <c r="BL198" s="21"/>
    </row>
    <row r="199" spans="1:64" ht="19.5" customHeight="1" x14ac:dyDescent="0.25">
      <c r="A199" s="18"/>
      <c r="B199" s="18"/>
      <c r="C199" s="20"/>
      <c r="D199" s="18"/>
      <c r="E199" s="18"/>
      <c r="F199" s="18"/>
      <c r="G199" s="18"/>
      <c r="H199" s="18"/>
      <c r="I199" s="18"/>
      <c r="J199" s="18"/>
      <c r="K199" s="19"/>
      <c r="L199" s="18"/>
      <c r="M199" s="18"/>
      <c r="N199" s="18"/>
      <c r="O199" s="19"/>
      <c r="P199" s="22"/>
      <c r="Q199" s="22"/>
      <c r="R199" s="21"/>
      <c r="S199" s="22"/>
      <c r="T199" s="22"/>
      <c r="U199" s="22"/>
      <c r="V199" s="22"/>
      <c r="W199" s="22"/>
      <c r="X199" s="21"/>
      <c r="Y199" s="21"/>
      <c r="Z199" s="21"/>
      <c r="AA199" s="22"/>
      <c r="AB199" s="22"/>
      <c r="AC199" s="18"/>
      <c r="AD199" s="18"/>
      <c r="AE199" s="22"/>
      <c r="AF199" s="22"/>
      <c r="AG199" s="22"/>
      <c r="AH199" s="22"/>
      <c r="AI199" s="22"/>
      <c r="AJ199" s="22"/>
      <c r="AK199" s="22"/>
      <c r="AL199" s="15"/>
      <c r="AM199" s="22"/>
      <c r="AN199" s="22"/>
      <c r="AO199" s="22"/>
      <c r="AP199" s="18"/>
      <c r="AQ199" s="18"/>
      <c r="AR199" s="18"/>
      <c r="AS199" s="15"/>
      <c r="AT199" s="15"/>
      <c r="AU199" s="15"/>
      <c r="AV199" s="15"/>
      <c r="AW199" s="15"/>
      <c r="AX199" s="15"/>
      <c r="AY199" s="15"/>
      <c r="AZ199" s="15"/>
      <c r="BA199" s="15"/>
      <c r="BB199" s="15"/>
      <c r="BC199" s="15"/>
      <c r="BD199" s="15"/>
      <c r="BE199" s="15"/>
      <c r="BF199" s="15"/>
      <c r="BG199" s="15"/>
      <c r="BH199" s="15"/>
      <c r="BI199" s="15"/>
      <c r="BJ199" s="15"/>
      <c r="BK199" s="22"/>
      <c r="BL199" s="21"/>
    </row>
    <row r="200" spans="1:64" ht="19.5" customHeight="1" x14ac:dyDescent="0.25">
      <c r="A200" s="18"/>
      <c r="B200" s="18"/>
      <c r="C200" s="20"/>
      <c r="D200" s="18"/>
      <c r="E200" s="18"/>
      <c r="F200" s="18"/>
      <c r="G200" s="18"/>
      <c r="H200" s="18"/>
      <c r="I200" s="18"/>
      <c r="J200" s="18"/>
      <c r="K200" s="19"/>
      <c r="L200" s="18"/>
      <c r="M200" s="18"/>
      <c r="N200" s="18"/>
      <c r="O200" s="19"/>
      <c r="P200" s="22"/>
      <c r="Q200" s="22"/>
      <c r="R200" s="21"/>
      <c r="S200" s="22"/>
      <c r="T200" s="22"/>
      <c r="U200" s="22"/>
      <c r="V200" s="22"/>
      <c r="W200" s="22"/>
      <c r="X200" s="21"/>
      <c r="Y200" s="21"/>
      <c r="Z200" s="21"/>
      <c r="AA200" s="22"/>
      <c r="AB200" s="22"/>
      <c r="AC200" s="18"/>
      <c r="AD200" s="18"/>
      <c r="AE200" s="22"/>
      <c r="AF200" s="22"/>
      <c r="AG200" s="22"/>
      <c r="AH200" s="22"/>
      <c r="AI200" s="22"/>
      <c r="AJ200" s="22"/>
      <c r="AK200" s="22"/>
      <c r="AL200" s="15"/>
      <c r="AM200" s="22"/>
      <c r="AN200" s="22"/>
      <c r="AO200" s="22"/>
      <c r="AP200" s="18"/>
      <c r="AQ200" s="18"/>
      <c r="AR200" s="18"/>
      <c r="AS200" s="15"/>
      <c r="AT200" s="15"/>
      <c r="AU200" s="15"/>
      <c r="AV200" s="15"/>
      <c r="AW200" s="15"/>
      <c r="AX200" s="15"/>
      <c r="AY200" s="15"/>
      <c r="AZ200" s="15"/>
      <c r="BA200" s="15"/>
      <c r="BB200" s="15"/>
      <c r="BC200" s="15"/>
      <c r="BD200" s="15"/>
      <c r="BE200" s="15"/>
      <c r="BF200" s="15"/>
      <c r="BG200" s="15"/>
      <c r="BH200" s="15"/>
      <c r="BI200" s="15"/>
      <c r="BJ200" s="15"/>
      <c r="BK200" s="22"/>
      <c r="BL200" s="21"/>
    </row>
    <row r="201" spans="1:64" ht="19.5" customHeight="1" x14ac:dyDescent="0.25">
      <c r="A201" s="18"/>
      <c r="B201" s="18"/>
      <c r="C201" s="20"/>
      <c r="D201" s="18"/>
      <c r="E201" s="18"/>
      <c r="F201" s="18"/>
      <c r="G201" s="18"/>
      <c r="H201" s="18"/>
      <c r="I201" s="18"/>
      <c r="J201" s="18"/>
      <c r="K201" s="19"/>
      <c r="L201" s="18"/>
      <c r="M201" s="18"/>
      <c r="N201" s="18"/>
      <c r="O201" s="19"/>
      <c r="P201" s="22"/>
      <c r="Q201" s="22"/>
      <c r="R201" s="21"/>
      <c r="S201" s="22"/>
      <c r="T201" s="22"/>
      <c r="U201" s="22"/>
      <c r="V201" s="22"/>
      <c r="W201" s="22"/>
      <c r="X201" s="21"/>
      <c r="Y201" s="21"/>
      <c r="Z201" s="21"/>
      <c r="AA201" s="22"/>
      <c r="AB201" s="22"/>
      <c r="AC201" s="18"/>
      <c r="AD201" s="18"/>
      <c r="AE201" s="22"/>
      <c r="AF201" s="22"/>
      <c r="AG201" s="22"/>
      <c r="AH201" s="22"/>
      <c r="AI201" s="22"/>
      <c r="AJ201" s="22"/>
      <c r="AK201" s="22"/>
      <c r="AL201" s="15"/>
      <c r="AM201" s="22"/>
      <c r="AN201" s="22"/>
      <c r="AO201" s="22"/>
      <c r="AP201" s="18"/>
      <c r="AQ201" s="18"/>
      <c r="AR201" s="18"/>
      <c r="AS201" s="15"/>
      <c r="AT201" s="15"/>
      <c r="AU201" s="15"/>
      <c r="AV201" s="15"/>
      <c r="AW201" s="15"/>
      <c r="AX201" s="15"/>
      <c r="AY201" s="15"/>
      <c r="AZ201" s="15"/>
      <c r="BA201" s="15"/>
      <c r="BB201" s="15"/>
      <c r="BC201" s="15"/>
      <c r="BD201" s="15"/>
      <c r="BE201" s="15"/>
      <c r="BF201" s="15"/>
      <c r="BG201" s="15"/>
      <c r="BH201" s="15"/>
      <c r="BI201" s="15"/>
      <c r="BJ201" s="15"/>
      <c r="BK201" s="22"/>
      <c r="BL201" s="21"/>
    </row>
    <row r="202" spans="1:64" ht="19.5" customHeight="1" x14ac:dyDescent="0.25">
      <c r="A202" s="18"/>
      <c r="B202" s="18"/>
      <c r="C202" s="20"/>
      <c r="D202" s="18"/>
      <c r="E202" s="18"/>
      <c r="F202" s="18"/>
      <c r="G202" s="18"/>
      <c r="H202" s="18"/>
      <c r="I202" s="18"/>
      <c r="J202" s="18"/>
      <c r="K202" s="19"/>
      <c r="L202" s="18"/>
      <c r="M202" s="18"/>
      <c r="N202" s="18"/>
      <c r="O202" s="19"/>
      <c r="P202" s="17"/>
      <c r="Q202" s="17"/>
      <c r="R202" s="16"/>
      <c r="S202" s="17"/>
      <c r="T202" s="17"/>
      <c r="U202" s="17"/>
      <c r="V202" s="17"/>
      <c r="W202" s="17"/>
      <c r="X202" s="16"/>
      <c r="Y202" s="16"/>
      <c r="Z202" s="16"/>
      <c r="AA202" s="17"/>
      <c r="AB202" s="17"/>
      <c r="AC202" s="18"/>
      <c r="AD202" s="18"/>
      <c r="AE202" s="17"/>
      <c r="AF202" s="17"/>
      <c r="AG202" s="17"/>
      <c r="AH202" s="17"/>
      <c r="AI202" s="17"/>
      <c r="AJ202" s="17"/>
      <c r="AK202" s="17"/>
      <c r="AL202" s="15"/>
      <c r="AM202" s="17"/>
      <c r="AN202" s="17"/>
      <c r="AO202" s="17"/>
      <c r="AP202" s="18"/>
      <c r="AQ202" s="18"/>
      <c r="AR202" s="18"/>
      <c r="AS202" s="15"/>
      <c r="AT202" s="15"/>
      <c r="AU202" s="15"/>
      <c r="AV202" s="15"/>
      <c r="AW202" s="15"/>
      <c r="AX202" s="15"/>
      <c r="AY202" s="15"/>
      <c r="AZ202" s="15"/>
      <c r="BA202" s="15"/>
      <c r="BB202" s="15"/>
      <c r="BC202" s="15"/>
      <c r="BD202" s="15"/>
      <c r="BE202" s="15"/>
      <c r="BF202" s="15"/>
      <c r="BG202" s="15"/>
      <c r="BH202" s="15"/>
      <c r="BI202" s="15"/>
      <c r="BJ202" s="15"/>
      <c r="BK202" s="17"/>
      <c r="BL202" s="16"/>
    </row>
    <row r="203" spans="1:64" ht="19.5" customHeight="1" x14ac:dyDescent="0.25">
      <c r="A203" s="18"/>
      <c r="B203" s="18"/>
      <c r="C203" s="20"/>
      <c r="D203" s="18"/>
      <c r="E203" s="18"/>
      <c r="F203" s="18"/>
      <c r="G203" s="18"/>
      <c r="H203" s="18"/>
      <c r="I203" s="18"/>
      <c r="J203" s="18"/>
      <c r="K203" s="19"/>
      <c r="L203" s="18"/>
      <c r="M203" s="18"/>
      <c r="N203" s="18"/>
      <c r="O203" s="19"/>
      <c r="P203" s="17"/>
      <c r="Q203" s="17"/>
      <c r="R203" s="16"/>
      <c r="S203" s="17"/>
      <c r="T203" s="17"/>
      <c r="U203" s="17"/>
      <c r="V203" s="17"/>
      <c r="W203" s="17"/>
      <c r="X203" s="16"/>
      <c r="Y203" s="16"/>
      <c r="Z203" s="16"/>
      <c r="AA203" s="17"/>
      <c r="AB203" s="17"/>
      <c r="AC203" s="18"/>
      <c r="AD203" s="18"/>
      <c r="AE203" s="17"/>
      <c r="AF203" s="17"/>
      <c r="AG203" s="17"/>
      <c r="AH203" s="17"/>
      <c r="AI203" s="17"/>
      <c r="AJ203" s="17"/>
      <c r="AK203" s="17"/>
      <c r="AL203" s="15"/>
      <c r="AM203" s="17"/>
      <c r="AN203" s="17"/>
      <c r="AO203" s="17"/>
      <c r="AP203" s="18"/>
      <c r="AQ203" s="18"/>
      <c r="AR203" s="18"/>
      <c r="AS203" s="15"/>
      <c r="AT203" s="15"/>
      <c r="AU203" s="15"/>
      <c r="AV203" s="15"/>
      <c r="AW203" s="15"/>
      <c r="AX203" s="15"/>
      <c r="AY203" s="15"/>
      <c r="AZ203" s="15"/>
      <c r="BA203" s="15"/>
      <c r="BB203" s="15"/>
      <c r="BC203" s="15"/>
      <c r="BD203" s="15"/>
      <c r="BE203" s="15"/>
      <c r="BF203" s="15"/>
      <c r="BG203" s="15"/>
      <c r="BH203" s="15"/>
      <c r="BI203" s="15"/>
      <c r="BJ203" s="15"/>
      <c r="BK203" s="17"/>
      <c r="BL203" s="16"/>
    </row>
    <row r="204" spans="1:64" ht="19.5" customHeight="1" x14ac:dyDescent="0.25">
      <c r="A204" s="18"/>
      <c r="B204" s="18"/>
      <c r="C204" s="20"/>
      <c r="D204" s="18"/>
      <c r="E204" s="18"/>
      <c r="F204" s="18"/>
      <c r="G204" s="18"/>
      <c r="H204" s="18"/>
      <c r="I204" s="18"/>
      <c r="J204" s="18"/>
      <c r="K204" s="19"/>
      <c r="L204" s="18"/>
      <c r="M204" s="18"/>
      <c r="N204" s="18"/>
      <c r="O204" s="19"/>
      <c r="P204" s="17"/>
      <c r="Q204" s="17"/>
      <c r="R204" s="16"/>
      <c r="S204" s="17"/>
      <c r="T204" s="17"/>
      <c r="U204" s="17"/>
      <c r="V204" s="17"/>
      <c r="W204" s="17"/>
      <c r="X204" s="16"/>
      <c r="Y204" s="16"/>
      <c r="Z204" s="16"/>
      <c r="AA204" s="17"/>
      <c r="AB204" s="17"/>
      <c r="AC204" s="18"/>
      <c r="AD204" s="18"/>
      <c r="AE204" s="17"/>
      <c r="AF204" s="17"/>
      <c r="AG204" s="17"/>
      <c r="AH204" s="17"/>
      <c r="AI204" s="17"/>
      <c r="AJ204" s="17"/>
      <c r="AK204" s="17"/>
      <c r="AL204" s="15"/>
      <c r="AM204" s="17"/>
      <c r="AN204" s="17"/>
      <c r="AO204" s="17"/>
      <c r="AP204" s="18"/>
      <c r="AQ204" s="18"/>
      <c r="AR204" s="18"/>
      <c r="AS204" s="15"/>
      <c r="AT204" s="15"/>
      <c r="AU204" s="15"/>
      <c r="AV204" s="15"/>
      <c r="AW204" s="15"/>
      <c r="AX204" s="15"/>
      <c r="AY204" s="15"/>
      <c r="AZ204" s="15"/>
      <c r="BA204" s="15"/>
      <c r="BB204" s="15"/>
      <c r="BC204" s="15"/>
      <c r="BD204" s="15"/>
      <c r="BE204" s="15"/>
      <c r="BF204" s="15"/>
      <c r="BG204" s="15"/>
      <c r="BH204" s="15"/>
      <c r="BI204" s="15"/>
      <c r="BJ204" s="15"/>
      <c r="BK204" s="17"/>
      <c r="BL204" s="16"/>
    </row>
    <row r="205" spans="1:64" ht="19.5" customHeight="1" x14ac:dyDescent="0.25">
      <c r="A205" s="18"/>
      <c r="B205" s="18"/>
      <c r="C205" s="20"/>
      <c r="D205" s="18"/>
      <c r="E205" s="18"/>
      <c r="F205" s="18"/>
      <c r="G205" s="18"/>
      <c r="H205" s="18"/>
      <c r="I205" s="18"/>
      <c r="J205" s="18"/>
      <c r="K205" s="19"/>
      <c r="L205" s="18"/>
      <c r="M205" s="18"/>
      <c r="N205" s="18"/>
      <c r="O205" s="19"/>
      <c r="P205" s="17"/>
      <c r="Q205" s="17"/>
      <c r="R205" s="16"/>
      <c r="S205" s="17"/>
      <c r="T205" s="17"/>
      <c r="U205" s="17"/>
      <c r="V205" s="17"/>
      <c r="W205" s="17"/>
      <c r="X205" s="16"/>
      <c r="Y205" s="16"/>
      <c r="Z205" s="16"/>
      <c r="AA205" s="17"/>
      <c r="AB205" s="17"/>
      <c r="AC205" s="18"/>
      <c r="AD205" s="18"/>
      <c r="AE205" s="17"/>
      <c r="AF205" s="17"/>
      <c r="AG205" s="17"/>
      <c r="AH205" s="17"/>
      <c r="AI205" s="17"/>
      <c r="AJ205" s="17"/>
      <c r="AK205" s="17"/>
      <c r="AL205" s="15"/>
      <c r="AM205" s="17"/>
      <c r="AN205" s="17"/>
      <c r="AO205" s="17"/>
      <c r="AP205" s="18"/>
      <c r="AQ205" s="18"/>
      <c r="AR205" s="18"/>
      <c r="AS205" s="15"/>
      <c r="AT205" s="15"/>
      <c r="AU205" s="15"/>
      <c r="AV205" s="15"/>
      <c r="AW205" s="15"/>
      <c r="AX205" s="15"/>
      <c r="AY205" s="15"/>
      <c r="AZ205" s="15"/>
      <c r="BA205" s="15"/>
      <c r="BB205" s="15"/>
      <c r="BC205" s="15"/>
      <c r="BD205" s="15"/>
      <c r="BE205" s="15"/>
      <c r="BF205" s="15"/>
      <c r="BG205" s="15"/>
      <c r="BH205" s="15"/>
      <c r="BI205" s="15"/>
      <c r="BJ205" s="15"/>
      <c r="BK205" s="17"/>
      <c r="BL205" s="16"/>
    </row>
    <row r="206" spans="1:64" ht="19.5" customHeight="1" x14ac:dyDescent="0.25">
      <c r="A206" s="18"/>
      <c r="B206" s="18"/>
      <c r="C206" s="20"/>
      <c r="D206" s="18"/>
      <c r="E206" s="18"/>
      <c r="F206" s="18"/>
      <c r="G206" s="18"/>
      <c r="H206" s="18"/>
      <c r="I206" s="18"/>
      <c r="J206" s="18"/>
      <c r="K206" s="19"/>
      <c r="L206" s="18"/>
      <c r="M206" s="18"/>
      <c r="N206" s="18"/>
      <c r="O206" s="19"/>
      <c r="P206" s="17"/>
      <c r="Q206" s="17"/>
      <c r="R206" s="16"/>
      <c r="S206" s="17"/>
      <c r="T206" s="17"/>
      <c r="U206" s="17"/>
      <c r="V206" s="17"/>
      <c r="W206" s="17"/>
      <c r="X206" s="16"/>
      <c r="Y206" s="16"/>
      <c r="Z206" s="16"/>
      <c r="AA206" s="17"/>
      <c r="AB206" s="17"/>
      <c r="AC206" s="18"/>
      <c r="AD206" s="18"/>
      <c r="AE206" s="17"/>
      <c r="AF206" s="17"/>
      <c r="AG206" s="17"/>
      <c r="AH206" s="17"/>
      <c r="AI206" s="17"/>
      <c r="AJ206" s="17"/>
      <c r="AK206" s="17"/>
      <c r="AL206" s="15"/>
      <c r="AM206" s="17"/>
      <c r="AN206" s="17"/>
      <c r="AO206" s="17"/>
      <c r="AP206" s="18"/>
      <c r="AQ206" s="18"/>
      <c r="AR206" s="18"/>
      <c r="AS206" s="15"/>
      <c r="AT206" s="15"/>
      <c r="AU206" s="15"/>
      <c r="AV206" s="15"/>
      <c r="AW206" s="15"/>
      <c r="AX206" s="15"/>
      <c r="AY206" s="15"/>
      <c r="AZ206" s="15"/>
      <c r="BA206" s="15"/>
      <c r="BB206" s="15"/>
      <c r="BC206" s="15"/>
      <c r="BD206" s="15"/>
      <c r="BE206" s="15"/>
      <c r="BF206" s="15"/>
      <c r="BG206" s="15"/>
      <c r="BH206" s="15"/>
      <c r="BI206" s="15"/>
      <c r="BJ206" s="15"/>
      <c r="BK206" s="17"/>
      <c r="BL206" s="16"/>
    </row>
    <row r="207" spans="1:64" ht="19.5" customHeight="1" x14ac:dyDescent="0.25">
      <c r="A207" s="18"/>
      <c r="B207" s="18"/>
      <c r="C207" s="20"/>
      <c r="D207" s="18"/>
      <c r="E207" s="18"/>
      <c r="F207" s="18"/>
      <c r="G207" s="18"/>
      <c r="H207" s="18"/>
      <c r="I207" s="18"/>
      <c r="J207" s="18"/>
      <c r="K207" s="19"/>
      <c r="L207" s="18"/>
      <c r="M207" s="18"/>
      <c r="N207" s="18"/>
      <c r="O207" s="19"/>
      <c r="P207" s="17"/>
      <c r="Q207" s="17"/>
      <c r="R207" s="16"/>
      <c r="S207" s="17"/>
      <c r="T207" s="17"/>
      <c r="U207" s="17"/>
      <c r="V207" s="17"/>
      <c r="W207" s="17"/>
      <c r="X207" s="16"/>
      <c r="Y207" s="16"/>
      <c r="Z207" s="16"/>
      <c r="AA207" s="17"/>
      <c r="AB207" s="17"/>
      <c r="AC207" s="18"/>
      <c r="AD207" s="18"/>
      <c r="AE207" s="17"/>
      <c r="AF207" s="17"/>
      <c r="AG207" s="17"/>
      <c r="AH207" s="17"/>
      <c r="AI207" s="17"/>
      <c r="AJ207" s="17"/>
      <c r="AK207" s="17"/>
      <c r="AL207" s="15"/>
      <c r="AM207" s="17"/>
      <c r="AN207" s="17"/>
      <c r="AO207" s="17"/>
      <c r="AP207" s="18"/>
      <c r="AQ207" s="18"/>
      <c r="AR207" s="18"/>
      <c r="AS207" s="15"/>
      <c r="AT207" s="15"/>
      <c r="AU207" s="15"/>
      <c r="AV207" s="15"/>
      <c r="AW207" s="15"/>
      <c r="AX207" s="15"/>
      <c r="AY207" s="15"/>
      <c r="AZ207" s="15"/>
      <c r="BA207" s="15"/>
      <c r="BB207" s="15"/>
      <c r="BC207" s="15"/>
      <c r="BD207" s="15"/>
      <c r="BE207" s="15"/>
      <c r="BF207" s="15"/>
      <c r="BG207" s="15"/>
      <c r="BH207" s="15"/>
      <c r="BI207" s="15"/>
      <c r="BJ207" s="15"/>
      <c r="BK207" s="17"/>
      <c r="BL207" s="16"/>
    </row>
    <row r="208" spans="1:64" ht="19.5" customHeight="1" x14ac:dyDescent="0.25">
      <c r="A208" s="18"/>
      <c r="B208" s="18"/>
      <c r="C208" s="20"/>
      <c r="D208" s="18"/>
      <c r="E208" s="18"/>
      <c r="F208" s="18"/>
      <c r="G208" s="18"/>
      <c r="H208" s="18"/>
      <c r="I208" s="18"/>
      <c r="J208" s="18"/>
      <c r="K208" s="19"/>
      <c r="L208" s="18"/>
      <c r="M208" s="18"/>
      <c r="N208" s="18"/>
      <c r="O208" s="19"/>
      <c r="P208" s="17"/>
      <c r="Q208" s="17"/>
      <c r="R208" s="16"/>
      <c r="S208" s="17"/>
      <c r="T208" s="17"/>
      <c r="U208" s="17"/>
      <c r="V208" s="17"/>
      <c r="W208" s="17"/>
      <c r="X208" s="16"/>
      <c r="Y208" s="16"/>
      <c r="Z208" s="16"/>
      <c r="AA208" s="17"/>
      <c r="AB208" s="17"/>
      <c r="AC208" s="18"/>
      <c r="AD208" s="18"/>
      <c r="AE208" s="17"/>
      <c r="AF208" s="17"/>
      <c r="AG208" s="17"/>
      <c r="AH208" s="17"/>
      <c r="AI208" s="17"/>
      <c r="AJ208" s="17"/>
      <c r="AK208" s="17"/>
      <c r="AL208" s="15"/>
      <c r="AM208" s="17"/>
      <c r="AN208" s="17"/>
      <c r="AO208" s="17"/>
      <c r="AP208" s="18"/>
      <c r="AQ208" s="18"/>
      <c r="AR208" s="18"/>
      <c r="AS208" s="15"/>
      <c r="AT208" s="15"/>
      <c r="AU208" s="15"/>
      <c r="AV208" s="15"/>
      <c r="AW208" s="15"/>
      <c r="AX208" s="15"/>
      <c r="AY208" s="15"/>
      <c r="AZ208" s="15"/>
      <c r="BA208" s="15"/>
      <c r="BB208" s="15"/>
      <c r="BC208" s="15"/>
      <c r="BD208" s="15"/>
      <c r="BE208" s="15"/>
      <c r="BF208" s="15"/>
      <c r="BG208" s="15"/>
      <c r="BH208" s="15"/>
      <c r="BI208" s="15"/>
      <c r="BJ208" s="15"/>
      <c r="BK208" s="17"/>
      <c r="BL208" s="16"/>
    </row>
    <row r="209" spans="1:64" ht="19.5" customHeight="1" x14ac:dyDescent="0.25">
      <c r="A209" s="18"/>
      <c r="B209" s="18"/>
      <c r="C209" s="20"/>
      <c r="D209" s="18"/>
      <c r="E209" s="18"/>
      <c r="F209" s="18"/>
      <c r="G209" s="18"/>
      <c r="H209" s="18"/>
      <c r="I209" s="18"/>
      <c r="J209" s="18"/>
      <c r="K209" s="19"/>
      <c r="L209" s="18"/>
      <c r="M209" s="18"/>
      <c r="N209" s="18"/>
      <c r="O209" s="19"/>
      <c r="P209" s="17"/>
      <c r="Q209" s="17"/>
      <c r="R209" s="16"/>
      <c r="S209" s="17"/>
      <c r="T209" s="17"/>
      <c r="U209" s="17"/>
      <c r="V209" s="17"/>
      <c r="W209" s="17"/>
      <c r="X209" s="16"/>
      <c r="Y209" s="16"/>
      <c r="Z209" s="16"/>
      <c r="AA209" s="17"/>
      <c r="AB209" s="17"/>
      <c r="AC209" s="18"/>
      <c r="AD209" s="18"/>
      <c r="AE209" s="17"/>
      <c r="AF209" s="17"/>
      <c r="AG209" s="17"/>
      <c r="AH209" s="17"/>
      <c r="AI209" s="17"/>
      <c r="AJ209" s="17"/>
      <c r="AK209" s="17"/>
      <c r="AL209" s="15"/>
      <c r="AM209" s="17"/>
      <c r="AN209" s="17"/>
      <c r="AO209" s="17"/>
      <c r="AP209" s="18"/>
      <c r="AQ209" s="18"/>
      <c r="AR209" s="18"/>
      <c r="AS209" s="15"/>
      <c r="AT209" s="15"/>
      <c r="AU209" s="15"/>
      <c r="AV209" s="15"/>
      <c r="AW209" s="15"/>
      <c r="AX209" s="15"/>
      <c r="AY209" s="15"/>
      <c r="AZ209" s="15"/>
      <c r="BA209" s="15"/>
      <c r="BB209" s="15"/>
      <c r="BC209" s="15"/>
      <c r="BD209" s="15"/>
      <c r="BE209" s="15"/>
      <c r="BF209" s="15"/>
      <c r="BG209" s="15"/>
      <c r="BH209" s="15"/>
      <c r="BI209" s="15"/>
      <c r="BJ209" s="15"/>
      <c r="BK209" s="17"/>
      <c r="BL209" s="16"/>
    </row>
    <row r="210" spans="1:64" ht="19.5" customHeight="1" x14ac:dyDescent="0.25">
      <c r="A210" s="18"/>
      <c r="B210" s="18"/>
      <c r="C210" s="20"/>
      <c r="D210" s="18"/>
      <c r="E210" s="18"/>
      <c r="F210" s="18"/>
      <c r="G210" s="18"/>
      <c r="H210" s="18"/>
      <c r="I210" s="18"/>
      <c r="J210" s="18"/>
      <c r="K210" s="19"/>
      <c r="L210" s="18"/>
      <c r="M210" s="18"/>
      <c r="N210" s="18"/>
      <c r="O210" s="19"/>
      <c r="P210" s="17"/>
      <c r="Q210" s="17"/>
      <c r="R210" s="16"/>
      <c r="S210" s="17"/>
      <c r="T210" s="17"/>
      <c r="U210" s="17"/>
      <c r="V210" s="17"/>
      <c r="W210" s="17"/>
      <c r="X210" s="16"/>
      <c r="Y210" s="16"/>
      <c r="Z210" s="16"/>
      <c r="AA210" s="17"/>
      <c r="AB210" s="17"/>
      <c r="AC210" s="18"/>
      <c r="AD210" s="18"/>
      <c r="AE210" s="17"/>
      <c r="AF210" s="17"/>
      <c r="AG210" s="17"/>
      <c r="AH210" s="17"/>
      <c r="AI210" s="17"/>
      <c r="AJ210" s="17"/>
      <c r="AK210" s="17"/>
      <c r="AL210" s="15"/>
      <c r="AM210" s="17"/>
      <c r="AN210" s="17"/>
      <c r="AO210" s="17"/>
      <c r="AP210" s="18"/>
      <c r="AQ210" s="18"/>
      <c r="AR210" s="18"/>
      <c r="AS210" s="15"/>
      <c r="AT210" s="15"/>
      <c r="AU210" s="15"/>
      <c r="AV210" s="15"/>
      <c r="AW210" s="15"/>
      <c r="AX210" s="15"/>
      <c r="AY210" s="15"/>
      <c r="AZ210" s="15"/>
      <c r="BA210" s="15"/>
      <c r="BB210" s="15"/>
      <c r="BC210" s="15"/>
      <c r="BD210" s="15"/>
      <c r="BE210" s="15"/>
      <c r="BF210" s="15"/>
      <c r="BG210" s="15"/>
      <c r="BH210" s="15"/>
      <c r="BI210" s="15"/>
      <c r="BJ210" s="15"/>
      <c r="BK210" s="17"/>
      <c r="BL210" s="16"/>
    </row>
    <row r="211" spans="1:64" ht="19.5" customHeight="1" x14ac:dyDescent="0.25">
      <c r="A211" s="18"/>
      <c r="B211" s="18"/>
      <c r="C211" s="20"/>
      <c r="D211" s="18"/>
      <c r="E211" s="18"/>
      <c r="F211" s="18"/>
      <c r="G211" s="18"/>
      <c r="H211" s="18"/>
      <c r="I211" s="18"/>
      <c r="J211" s="18"/>
      <c r="K211" s="19"/>
      <c r="L211" s="18"/>
      <c r="M211" s="18"/>
      <c r="N211" s="18"/>
      <c r="O211" s="19"/>
      <c r="P211" s="17"/>
      <c r="Q211" s="17"/>
      <c r="R211" s="16"/>
      <c r="S211" s="17"/>
      <c r="T211" s="17"/>
      <c r="U211" s="17"/>
      <c r="V211" s="17"/>
      <c r="W211" s="17"/>
      <c r="X211" s="16"/>
      <c r="Y211" s="16"/>
      <c r="Z211" s="16"/>
      <c r="AA211" s="17"/>
      <c r="AB211" s="17"/>
      <c r="AC211" s="18"/>
      <c r="AD211" s="18"/>
      <c r="AE211" s="17"/>
      <c r="AF211" s="17"/>
      <c r="AG211" s="17"/>
      <c r="AH211" s="17"/>
      <c r="AI211" s="17"/>
      <c r="AJ211" s="17"/>
      <c r="AK211" s="17"/>
      <c r="AL211" s="15"/>
      <c r="AM211" s="17"/>
      <c r="AN211" s="17"/>
      <c r="AO211" s="17"/>
      <c r="AP211" s="18"/>
      <c r="AQ211" s="18"/>
      <c r="AR211" s="18"/>
      <c r="AS211" s="15"/>
      <c r="AT211" s="15"/>
      <c r="AU211" s="15"/>
      <c r="AV211" s="15"/>
      <c r="AW211" s="15"/>
      <c r="AX211" s="15"/>
      <c r="AY211" s="15"/>
      <c r="AZ211" s="15"/>
      <c r="BA211" s="15"/>
      <c r="BB211" s="15"/>
      <c r="BC211" s="15"/>
      <c r="BD211" s="15"/>
      <c r="BE211" s="15"/>
      <c r="BF211" s="15"/>
      <c r="BG211" s="15"/>
      <c r="BH211" s="15"/>
      <c r="BI211" s="15"/>
      <c r="BJ211" s="15"/>
      <c r="BK211" s="17"/>
      <c r="BL211" s="16"/>
    </row>
    <row r="212" spans="1:64" ht="19.5" customHeight="1" x14ac:dyDescent="0.25">
      <c r="A212" s="18"/>
      <c r="B212" s="18"/>
      <c r="C212" s="20"/>
      <c r="D212" s="18"/>
      <c r="E212" s="18"/>
      <c r="F212" s="18"/>
      <c r="G212" s="18"/>
      <c r="H212" s="18"/>
      <c r="I212" s="18"/>
      <c r="J212" s="18"/>
      <c r="K212" s="19"/>
      <c r="L212" s="18"/>
      <c r="M212" s="18"/>
      <c r="N212" s="18"/>
      <c r="O212" s="19"/>
      <c r="P212" s="17"/>
      <c r="Q212" s="17"/>
      <c r="R212" s="16"/>
      <c r="S212" s="17"/>
      <c r="T212" s="17"/>
      <c r="U212" s="17"/>
      <c r="V212" s="17"/>
      <c r="W212" s="17"/>
      <c r="X212" s="16"/>
      <c r="Y212" s="16"/>
      <c r="Z212" s="16"/>
      <c r="AA212" s="17"/>
      <c r="AB212" s="17"/>
      <c r="AC212" s="18"/>
      <c r="AD212" s="18"/>
      <c r="AE212" s="17"/>
      <c r="AF212" s="17"/>
      <c r="AG212" s="17"/>
      <c r="AH212" s="17"/>
      <c r="AI212" s="17"/>
      <c r="AJ212" s="17"/>
      <c r="AK212" s="17"/>
      <c r="AL212" s="15"/>
      <c r="AM212" s="17"/>
      <c r="AN212" s="17"/>
      <c r="AO212" s="17"/>
      <c r="AP212" s="18"/>
      <c r="AQ212" s="18"/>
      <c r="AR212" s="18"/>
      <c r="AS212" s="15"/>
      <c r="AT212" s="15"/>
      <c r="AU212" s="15"/>
      <c r="AV212" s="15"/>
      <c r="AW212" s="15"/>
      <c r="AX212" s="15"/>
      <c r="AY212" s="15"/>
      <c r="AZ212" s="15"/>
      <c r="BA212" s="15"/>
      <c r="BB212" s="15"/>
      <c r="BC212" s="15"/>
      <c r="BD212" s="15"/>
      <c r="BE212" s="15"/>
      <c r="BF212" s="15"/>
      <c r="BG212" s="15"/>
      <c r="BH212" s="15"/>
      <c r="BI212" s="15"/>
      <c r="BJ212" s="15"/>
      <c r="BK212" s="17"/>
      <c r="BL212" s="16"/>
    </row>
    <row r="213" spans="1:64" ht="19.5" customHeight="1" x14ac:dyDescent="0.25">
      <c r="A213" s="18"/>
      <c r="B213" s="18"/>
      <c r="C213" s="20"/>
      <c r="D213" s="18"/>
      <c r="E213" s="18"/>
      <c r="F213" s="18"/>
      <c r="G213" s="18"/>
      <c r="H213" s="18"/>
      <c r="I213" s="18"/>
      <c r="J213" s="18"/>
      <c r="K213" s="19"/>
      <c r="L213" s="18"/>
      <c r="M213" s="18"/>
      <c r="N213" s="18"/>
      <c r="O213" s="19"/>
      <c r="P213" s="17"/>
      <c r="Q213" s="17"/>
      <c r="R213" s="16"/>
      <c r="S213" s="17"/>
      <c r="T213" s="17"/>
      <c r="U213" s="17"/>
      <c r="V213" s="17"/>
      <c r="W213" s="17"/>
      <c r="X213" s="16"/>
      <c r="Y213" s="16"/>
      <c r="Z213" s="16"/>
      <c r="AA213" s="17"/>
      <c r="AB213" s="17"/>
      <c r="AC213" s="18"/>
      <c r="AD213" s="18"/>
      <c r="AE213" s="17"/>
      <c r="AF213" s="17"/>
      <c r="AG213" s="17"/>
      <c r="AH213" s="17"/>
      <c r="AI213" s="17"/>
      <c r="AJ213" s="17"/>
      <c r="AK213" s="17"/>
      <c r="AL213" s="15"/>
      <c r="AM213" s="17"/>
      <c r="AN213" s="17"/>
      <c r="AO213" s="17"/>
      <c r="AP213" s="18"/>
      <c r="AQ213" s="18"/>
      <c r="AR213" s="18"/>
      <c r="AS213" s="15"/>
      <c r="AT213" s="15"/>
      <c r="AU213" s="15"/>
      <c r="AV213" s="15"/>
      <c r="AW213" s="15"/>
      <c r="AX213" s="15"/>
      <c r="AY213" s="15"/>
      <c r="AZ213" s="15"/>
      <c r="BA213" s="15"/>
      <c r="BB213" s="15"/>
      <c r="BC213" s="15"/>
      <c r="BD213" s="15"/>
      <c r="BE213" s="15"/>
      <c r="BF213" s="15"/>
      <c r="BG213" s="15"/>
      <c r="BH213" s="15"/>
      <c r="BI213" s="15"/>
      <c r="BJ213" s="15"/>
      <c r="BK213" s="17"/>
      <c r="BL213" s="16"/>
    </row>
    <row r="214" spans="1:64" ht="19.5" customHeight="1" x14ac:dyDescent="0.25">
      <c r="A214" s="18"/>
      <c r="B214" s="18"/>
      <c r="C214" s="20"/>
      <c r="D214" s="18"/>
      <c r="E214" s="18"/>
      <c r="F214" s="18"/>
      <c r="G214" s="18"/>
      <c r="H214" s="18"/>
      <c r="I214" s="18"/>
      <c r="J214" s="18"/>
      <c r="K214" s="19"/>
      <c r="L214" s="18"/>
      <c r="M214" s="18"/>
      <c r="N214" s="18"/>
      <c r="O214" s="19"/>
      <c r="P214" s="17"/>
      <c r="Q214" s="17"/>
      <c r="R214" s="16"/>
      <c r="S214" s="17"/>
      <c r="T214" s="17"/>
      <c r="U214" s="17"/>
      <c r="V214" s="17"/>
      <c r="W214" s="17"/>
      <c r="X214" s="16"/>
      <c r="Y214" s="16"/>
      <c r="Z214" s="16"/>
      <c r="AA214" s="17"/>
      <c r="AB214" s="17"/>
      <c r="AC214" s="18"/>
      <c r="AD214" s="18"/>
      <c r="AE214" s="17"/>
      <c r="AF214" s="17"/>
      <c r="AG214" s="17"/>
      <c r="AH214" s="17"/>
      <c r="AI214" s="17"/>
      <c r="AJ214" s="17"/>
      <c r="AK214" s="17"/>
      <c r="AL214" s="15"/>
      <c r="AM214" s="17"/>
      <c r="AN214" s="17"/>
      <c r="AO214" s="17"/>
      <c r="AP214" s="18"/>
      <c r="AQ214" s="18"/>
      <c r="AR214" s="18"/>
      <c r="AS214" s="15"/>
      <c r="AT214" s="15"/>
      <c r="AU214" s="15"/>
      <c r="AV214" s="15"/>
      <c r="AW214" s="15"/>
      <c r="AX214" s="15"/>
      <c r="AY214" s="15"/>
      <c r="AZ214" s="15"/>
      <c r="BA214" s="15"/>
      <c r="BB214" s="15"/>
      <c r="BC214" s="15"/>
      <c r="BD214" s="15"/>
      <c r="BE214" s="15"/>
      <c r="BF214" s="15"/>
      <c r="BG214" s="15"/>
      <c r="BH214" s="15"/>
      <c r="BI214" s="15"/>
      <c r="BJ214" s="15"/>
      <c r="BK214" s="17"/>
      <c r="BL214" s="16"/>
    </row>
    <row r="215" spans="1:64" ht="19.5" customHeight="1" x14ac:dyDescent="0.25">
      <c r="A215" s="18"/>
      <c r="B215" s="18"/>
      <c r="C215" s="20"/>
      <c r="D215" s="18"/>
      <c r="E215" s="18"/>
      <c r="F215" s="18"/>
      <c r="G215" s="18"/>
      <c r="H215" s="18"/>
      <c r="I215" s="18"/>
      <c r="J215" s="18"/>
      <c r="K215" s="19"/>
      <c r="L215" s="18"/>
      <c r="M215" s="18"/>
      <c r="N215" s="18"/>
      <c r="O215" s="19"/>
      <c r="P215" s="17"/>
      <c r="Q215" s="17"/>
      <c r="R215" s="16"/>
      <c r="S215" s="17"/>
      <c r="T215" s="17"/>
      <c r="U215" s="17"/>
      <c r="V215" s="17"/>
      <c r="W215" s="17"/>
      <c r="X215" s="16"/>
      <c r="Y215" s="16"/>
      <c r="Z215" s="16"/>
      <c r="AA215" s="17"/>
      <c r="AB215" s="17"/>
      <c r="AC215" s="18"/>
      <c r="AD215" s="18"/>
      <c r="AE215" s="17"/>
      <c r="AF215" s="17"/>
      <c r="AG215" s="17"/>
      <c r="AH215" s="17"/>
      <c r="AI215" s="17"/>
      <c r="AJ215" s="17"/>
      <c r="AK215" s="17"/>
      <c r="AL215" s="15"/>
      <c r="AM215" s="17"/>
      <c r="AN215" s="17"/>
      <c r="AO215" s="17"/>
      <c r="AP215" s="18"/>
      <c r="AQ215" s="18"/>
      <c r="AR215" s="18"/>
      <c r="AS215" s="15"/>
      <c r="AT215" s="15"/>
      <c r="AU215" s="15"/>
      <c r="AV215" s="15"/>
      <c r="AW215" s="15"/>
      <c r="AX215" s="15"/>
      <c r="AY215" s="15"/>
      <c r="AZ215" s="15"/>
      <c r="BA215" s="15"/>
      <c r="BB215" s="15"/>
      <c r="BC215" s="15"/>
      <c r="BD215" s="15"/>
      <c r="BE215" s="15"/>
      <c r="BF215" s="15"/>
      <c r="BG215" s="15"/>
      <c r="BH215" s="15"/>
      <c r="BI215" s="15"/>
      <c r="BJ215" s="15"/>
      <c r="BK215" s="17"/>
      <c r="BL215" s="16"/>
    </row>
    <row r="216" spans="1:64" ht="19.5" customHeight="1" x14ac:dyDescent="0.25">
      <c r="A216" s="18"/>
      <c r="B216" s="18"/>
      <c r="C216" s="20"/>
      <c r="D216" s="18"/>
      <c r="E216" s="18"/>
      <c r="F216" s="18"/>
      <c r="G216" s="18"/>
      <c r="H216" s="18"/>
      <c r="I216" s="18"/>
      <c r="J216" s="18"/>
      <c r="K216" s="19"/>
      <c r="L216" s="18"/>
      <c r="M216" s="18"/>
      <c r="N216" s="18"/>
      <c r="O216" s="19"/>
      <c r="P216" s="17"/>
      <c r="Q216" s="17"/>
      <c r="R216" s="16"/>
      <c r="S216" s="17"/>
      <c r="T216" s="17"/>
      <c r="U216" s="17"/>
      <c r="V216" s="17"/>
      <c r="W216" s="17"/>
      <c r="X216" s="16"/>
      <c r="Y216" s="16"/>
      <c r="Z216" s="16"/>
      <c r="AA216" s="17"/>
      <c r="AB216" s="17"/>
      <c r="AC216" s="18"/>
      <c r="AD216" s="18"/>
      <c r="AE216" s="17"/>
      <c r="AF216" s="17"/>
      <c r="AG216" s="17"/>
      <c r="AH216" s="17"/>
      <c r="AI216" s="17"/>
      <c r="AJ216" s="17"/>
      <c r="AK216" s="17"/>
      <c r="AL216" s="15"/>
      <c r="AM216" s="17"/>
      <c r="AN216" s="17"/>
      <c r="AO216" s="17"/>
      <c r="AP216" s="18"/>
      <c r="AQ216" s="18"/>
      <c r="AR216" s="18"/>
      <c r="AS216" s="15"/>
      <c r="AT216" s="15"/>
      <c r="AU216" s="15"/>
      <c r="AV216" s="15"/>
      <c r="AW216" s="15"/>
      <c r="AX216" s="15"/>
      <c r="AY216" s="15"/>
      <c r="AZ216" s="15"/>
      <c r="BA216" s="15"/>
      <c r="BB216" s="15"/>
      <c r="BC216" s="15"/>
      <c r="BD216" s="15"/>
      <c r="BE216" s="15"/>
      <c r="BF216" s="15"/>
      <c r="BG216" s="15"/>
      <c r="BH216" s="15"/>
      <c r="BI216" s="15"/>
      <c r="BJ216" s="15"/>
      <c r="BK216" s="17"/>
      <c r="BL216" s="16"/>
    </row>
    <row r="217" spans="1:64" ht="19.5" customHeight="1" x14ac:dyDescent="0.25">
      <c r="A217" s="18"/>
      <c r="B217" s="18"/>
      <c r="C217" s="20"/>
      <c r="D217" s="18"/>
      <c r="E217" s="18"/>
      <c r="F217" s="18"/>
      <c r="G217" s="18"/>
      <c r="H217" s="18"/>
      <c r="I217" s="18"/>
      <c r="J217" s="18"/>
      <c r="K217" s="19"/>
      <c r="L217" s="18"/>
      <c r="M217" s="18"/>
      <c r="N217" s="18"/>
      <c r="O217" s="19"/>
      <c r="P217" s="17"/>
      <c r="Q217" s="17"/>
      <c r="R217" s="16"/>
      <c r="S217" s="17"/>
      <c r="T217" s="17"/>
      <c r="U217" s="17"/>
      <c r="V217" s="17"/>
      <c r="W217" s="17"/>
      <c r="X217" s="16"/>
      <c r="Y217" s="16"/>
      <c r="Z217" s="16"/>
      <c r="AA217" s="17"/>
      <c r="AB217" s="17"/>
      <c r="AC217" s="18"/>
      <c r="AD217" s="18"/>
      <c r="AE217" s="17"/>
      <c r="AF217" s="17"/>
      <c r="AG217" s="17"/>
      <c r="AH217" s="17"/>
      <c r="AI217" s="17"/>
      <c r="AJ217" s="17"/>
      <c r="AK217" s="17"/>
      <c r="AL217" s="15"/>
      <c r="AM217" s="17"/>
      <c r="AN217" s="17"/>
      <c r="AO217" s="17"/>
      <c r="AP217" s="18"/>
      <c r="AQ217" s="18"/>
      <c r="AR217" s="18"/>
      <c r="AS217" s="15"/>
      <c r="AT217" s="15"/>
      <c r="AU217" s="15"/>
      <c r="AV217" s="15"/>
      <c r="AW217" s="15"/>
      <c r="AX217" s="15"/>
      <c r="AY217" s="15"/>
      <c r="AZ217" s="15"/>
      <c r="BA217" s="15"/>
      <c r="BB217" s="15"/>
      <c r="BC217" s="15"/>
      <c r="BD217" s="15"/>
      <c r="BE217" s="15"/>
      <c r="BF217" s="15"/>
      <c r="BG217" s="15"/>
      <c r="BH217" s="15"/>
      <c r="BI217" s="15"/>
      <c r="BJ217" s="15"/>
      <c r="BK217" s="17"/>
      <c r="BL217" s="16"/>
    </row>
    <row r="218" spans="1:64" ht="19.5" customHeight="1" x14ac:dyDescent="0.25">
      <c r="A218" s="18"/>
      <c r="B218" s="18"/>
      <c r="C218" s="20"/>
      <c r="D218" s="18"/>
      <c r="E218" s="18"/>
      <c r="F218" s="18"/>
      <c r="G218" s="18"/>
      <c r="H218" s="18"/>
      <c r="I218" s="18"/>
      <c r="J218" s="18"/>
      <c r="K218" s="19"/>
      <c r="L218" s="18"/>
      <c r="M218" s="18"/>
      <c r="N218" s="18"/>
      <c r="O218" s="19"/>
      <c r="P218" s="17"/>
      <c r="Q218" s="17"/>
      <c r="R218" s="16"/>
      <c r="S218" s="17"/>
      <c r="T218" s="17"/>
      <c r="U218" s="17"/>
      <c r="V218" s="17"/>
      <c r="W218" s="17"/>
      <c r="X218" s="16"/>
      <c r="Y218" s="16"/>
      <c r="Z218" s="16"/>
      <c r="AA218" s="17"/>
      <c r="AB218" s="17"/>
      <c r="AC218" s="18"/>
      <c r="AD218" s="18"/>
      <c r="AE218" s="17"/>
      <c r="AF218" s="17"/>
      <c r="AG218" s="17"/>
      <c r="AH218" s="17"/>
      <c r="AI218" s="17"/>
      <c r="AJ218" s="17"/>
      <c r="AK218" s="17"/>
      <c r="AL218" s="15"/>
      <c r="AM218" s="17"/>
      <c r="AN218" s="17"/>
      <c r="AO218" s="17"/>
      <c r="AP218" s="18"/>
      <c r="AQ218" s="18"/>
      <c r="AR218" s="18"/>
      <c r="AS218" s="15"/>
      <c r="AT218" s="15"/>
      <c r="AU218" s="15"/>
      <c r="AV218" s="15"/>
      <c r="AW218" s="15"/>
      <c r="AX218" s="15"/>
      <c r="AY218" s="15"/>
      <c r="AZ218" s="15"/>
      <c r="BA218" s="15"/>
      <c r="BB218" s="15"/>
      <c r="BC218" s="15"/>
      <c r="BD218" s="15"/>
      <c r="BE218" s="15"/>
      <c r="BF218" s="15"/>
      <c r="BG218" s="15"/>
      <c r="BH218" s="15"/>
      <c r="BI218" s="15"/>
      <c r="BJ218" s="15"/>
      <c r="BK218" s="17"/>
      <c r="BL218" s="16"/>
    </row>
    <row r="219" spans="1:64" ht="19.5" customHeight="1" x14ac:dyDescent="0.25">
      <c r="A219" s="18"/>
      <c r="B219" s="18"/>
      <c r="C219" s="20"/>
      <c r="D219" s="18"/>
      <c r="E219" s="18"/>
      <c r="F219" s="18"/>
      <c r="G219" s="18"/>
      <c r="H219" s="18"/>
      <c r="I219" s="18"/>
      <c r="J219" s="18"/>
      <c r="K219" s="19"/>
      <c r="L219" s="18"/>
      <c r="M219" s="18"/>
      <c r="N219" s="18"/>
      <c r="O219" s="19"/>
      <c r="P219" s="17"/>
      <c r="Q219" s="17"/>
      <c r="R219" s="16"/>
      <c r="S219" s="17"/>
      <c r="T219" s="17"/>
      <c r="U219" s="17"/>
      <c r="V219" s="17"/>
      <c r="W219" s="17"/>
      <c r="X219" s="16"/>
      <c r="Y219" s="16"/>
      <c r="Z219" s="16"/>
      <c r="AA219" s="17"/>
      <c r="AB219" s="17"/>
      <c r="AC219" s="18"/>
      <c r="AD219" s="18"/>
      <c r="AE219" s="17"/>
      <c r="AF219" s="17"/>
      <c r="AG219" s="17"/>
      <c r="AH219" s="17"/>
      <c r="AI219" s="17"/>
      <c r="AJ219" s="17"/>
      <c r="AK219" s="17"/>
      <c r="AL219" s="15"/>
      <c r="AM219" s="17"/>
      <c r="AN219" s="17"/>
      <c r="AO219" s="17"/>
      <c r="AP219" s="18"/>
      <c r="AQ219" s="18"/>
      <c r="AR219" s="18"/>
      <c r="AS219" s="15"/>
      <c r="AT219" s="15"/>
      <c r="AU219" s="15"/>
      <c r="AV219" s="15"/>
      <c r="AW219" s="15"/>
      <c r="AX219" s="15"/>
      <c r="AY219" s="15"/>
      <c r="AZ219" s="15"/>
      <c r="BA219" s="15"/>
      <c r="BB219" s="15"/>
      <c r="BC219" s="15"/>
      <c r="BD219" s="15"/>
      <c r="BE219" s="15"/>
      <c r="BF219" s="15"/>
      <c r="BG219" s="15"/>
      <c r="BH219" s="15"/>
      <c r="BI219" s="15"/>
      <c r="BJ219" s="15"/>
      <c r="BK219" s="17"/>
      <c r="BL219" s="16"/>
    </row>
    <row r="220" spans="1:64" ht="19.5" customHeight="1" x14ac:dyDescent="0.25">
      <c r="A220" s="18"/>
      <c r="B220" s="18"/>
      <c r="C220" s="20"/>
      <c r="D220" s="18"/>
      <c r="E220" s="18"/>
      <c r="F220" s="18"/>
      <c r="G220" s="18"/>
      <c r="H220" s="18"/>
      <c r="I220" s="18"/>
      <c r="J220" s="18"/>
      <c r="K220" s="19"/>
      <c r="L220" s="18"/>
      <c r="M220" s="18"/>
      <c r="N220" s="18"/>
      <c r="O220" s="19"/>
      <c r="P220" s="17"/>
      <c r="Q220" s="17"/>
      <c r="R220" s="16"/>
      <c r="S220" s="17"/>
      <c r="T220" s="17"/>
      <c r="U220" s="17"/>
      <c r="V220" s="17"/>
      <c r="W220" s="17"/>
      <c r="X220" s="16"/>
      <c r="Y220" s="16"/>
      <c r="Z220" s="16"/>
      <c r="AA220" s="17"/>
      <c r="AB220" s="17"/>
      <c r="AC220" s="18"/>
      <c r="AD220" s="18"/>
      <c r="AE220" s="17"/>
      <c r="AF220" s="17"/>
      <c r="AG220" s="17"/>
      <c r="AH220" s="17"/>
      <c r="AI220" s="17"/>
      <c r="AJ220" s="17"/>
      <c r="AK220" s="17"/>
      <c r="AL220" s="15"/>
      <c r="AM220" s="17"/>
      <c r="AN220" s="17"/>
      <c r="AO220" s="17"/>
      <c r="AP220" s="18"/>
      <c r="AQ220" s="18"/>
      <c r="AR220" s="18"/>
      <c r="AS220" s="15"/>
      <c r="AT220" s="15"/>
      <c r="AU220" s="15"/>
      <c r="AV220" s="15"/>
      <c r="AW220" s="15"/>
      <c r="AX220" s="15"/>
      <c r="AY220" s="15"/>
      <c r="AZ220" s="15"/>
      <c r="BA220" s="15"/>
      <c r="BB220" s="15"/>
      <c r="BC220" s="15"/>
      <c r="BD220" s="15"/>
      <c r="BE220" s="15"/>
      <c r="BF220" s="15"/>
      <c r="BG220" s="15"/>
      <c r="BH220" s="15"/>
      <c r="BI220" s="15"/>
      <c r="BJ220" s="15"/>
      <c r="BK220" s="17"/>
      <c r="BL220" s="16"/>
    </row>
    <row r="221" spans="1:64" ht="19.5" customHeight="1" x14ac:dyDescent="0.25">
      <c r="A221" s="18"/>
      <c r="B221" s="18"/>
      <c r="C221" s="20"/>
      <c r="D221" s="18"/>
      <c r="E221" s="18"/>
      <c r="F221" s="18"/>
      <c r="G221" s="18"/>
      <c r="H221" s="18"/>
      <c r="I221" s="18"/>
      <c r="J221" s="18"/>
      <c r="K221" s="19"/>
      <c r="L221" s="18"/>
      <c r="M221" s="18"/>
      <c r="N221" s="18"/>
      <c r="O221" s="19"/>
      <c r="P221" s="17"/>
      <c r="Q221" s="17"/>
      <c r="R221" s="16"/>
      <c r="S221" s="17"/>
      <c r="T221" s="17"/>
      <c r="U221" s="17"/>
      <c r="V221" s="17"/>
      <c r="W221" s="17"/>
      <c r="X221" s="16"/>
      <c r="Y221" s="16"/>
      <c r="Z221" s="16"/>
      <c r="AA221" s="17"/>
      <c r="AB221" s="17"/>
      <c r="AC221" s="18"/>
      <c r="AD221" s="18"/>
      <c r="AE221" s="17"/>
      <c r="AF221" s="17"/>
      <c r="AG221" s="17"/>
      <c r="AH221" s="17"/>
      <c r="AI221" s="17"/>
      <c r="AJ221" s="17"/>
      <c r="AK221" s="17"/>
      <c r="AL221" s="15"/>
      <c r="AM221" s="17"/>
      <c r="AN221" s="17"/>
      <c r="AO221" s="17"/>
      <c r="AP221" s="18"/>
      <c r="AQ221" s="18"/>
      <c r="AR221" s="18"/>
      <c r="AS221" s="15"/>
      <c r="AT221" s="15"/>
      <c r="AU221" s="15"/>
      <c r="AV221" s="15"/>
      <c r="AW221" s="15"/>
      <c r="AX221" s="15"/>
      <c r="AY221" s="15"/>
      <c r="AZ221" s="15"/>
      <c r="BA221" s="15"/>
      <c r="BB221" s="15"/>
      <c r="BC221" s="15"/>
      <c r="BD221" s="15"/>
      <c r="BE221" s="15"/>
      <c r="BF221" s="15"/>
      <c r="BG221" s="15"/>
      <c r="BH221" s="15"/>
      <c r="BI221" s="15"/>
      <c r="BJ221" s="15"/>
      <c r="BK221" s="17"/>
      <c r="BL221" s="16"/>
    </row>
    <row r="222" spans="1:64" ht="19.5" customHeight="1" x14ac:dyDescent="0.25">
      <c r="A222" s="18"/>
      <c r="B222" s="18"/>
      <c r="C222" s="20"/>
      <c r="D222" s="18"/>
      <c r="E222" s="18"/>
      <c r="F222" s="18"/>
      <c r="G222" s="18"/>
      <c r="H222" s="18"/>
      <c r="I222" s="18"/>
      <c r="J222" s="18"/>
      <c r="K222" s="19"/>
      <c r="L222" s="18"/>
      <c r="M222" s="18"/>
      <c r="N222" s="18"/>
      <c r="O222" s="19"/>
      <c r="P222" s="17"/>
      <c r="Q222" s="17"/>
      <c r="R222" s="16"/>
      <c r="S222" s="17"/>
      <c r="T222" s="17"/>
      <c r="U222" s="17"/>
      <c r="V222" s="17"/>
      <c r="W222" s="17"/>
      <c r="X222" s="16"/>
      <c r="Y222" s="16"/>
      <c r="Z222" s="16"/>
      <c r="AA222" s="17"/>
      <c r="AB222" s="17"/>
      <c r="AC222" s="18"/>
      <c r="AD222" s="18"/>
      <c r="AE222" s="17"/>
      <c r="AF222" s="17"/>
      <c r="AG222" s="17"/>
      <c r="AH222" s="17"/>
      <c r="AI222" s="17"/>
      <c r="AJ222" s="17"/>
      <c r="AK222" s="17"/>
      <c r="AL222" s="15"/>
      <c r="AM222" s="17"/>
      <c r="AN222" s="17"/>
      <c r="AO222" s="17"/>
      <c r="AP222" s="18"/>
      <c r="AQ222" s="18"/>
      <c r="AR222" s="18"/>
      <c r="AS222" s="15"/>
      <c r="AT222" s="15"/>
      <c r="AU222" s="15"/>
      <c r="AV222" s="15"/>
      <c r="AW222" s="15"/>
      <c r="AX222" s="15"/>
      <c r="AY222" s="15"/>
      <c r="AZ222" s="15"/>
      <c r="BA222" s="15"/>
      <c r="BB222" s="15"/>
      <c r="BC222" s="15"/>
      <c r="BD222" s="15"/>
      <c r="BE222" s="15"/>
      <c r="BF222" s="15"/>
      <c r="BG222" s="15"/>
      <c r="BH222" s="15"/>
      <c r="BI222" s="15"/>
      <c r="BJ222" s="15"/>
      <c r="BK222" s="17"/>
      <c r="BL222" s="16"/>
    </row>
    <row r="223" spans="1:64" ht="19.5" customHeight="1" x14ac:dyDescent="0.25">
      <c r="A223" s="18"/>
      <c r="B223" s="18"/>
      <c r="C223" s="20"/>
      <c r="D223" s="18"/>
      <c r="E223" s="18"/>
      <c r="F223" s="18"/>
      <c r="G223" s="18"/>
      <c r="H223" s="18"/>
      <c r="I223" s="18"/>
      <c r="J223" s="18"/>
      <c r="K223" s="19"/>
      <c r="L223" s="18"/>
      <c r="M223" s="18"/>
      <c r="N223" s="18"/>
      <c r="O223" s="19"/>
      <c r="P223" s="17"/>
      <c r="Q223" s="17"/>
      <c r="R223" s="16"/>
      <c r="S223" s="17"/>
      <c r="T223" s="17"/>
      <c r="U223" s="17"/>
      <c r="V223" s="17"/>
      <c r="W223" s="17"/>
      <c r="X223" s="16"/>
      <c r="Y223" s="16"/>
      <c r="Z223" s="16"/>
      <c r="AA223" s="17"/>
      <c r="AB223" s="17"/>
      <c r="AC223" s="18"/>
      <c r="AD223" s="18"/>
      <c r="AE223" s="17"/>
      <c r="AF223" s="17"/>
      <c r="AG223" s="17"/>
      <c r="AH223" s="17"/>
      <c r="AI223" s="17"/>
      <c r="AJ223" s="17"/>
      <c r="AK223" s="17"/>
      <c r="AL223" s="15"/>
      <c r="AM223" s="17"/>
      <c r="AN223" s="17"/>
      <c r="AO223" s="17"/>
      <c r="AP223" s="18"/>
      <c r="AQ223" s="18"/>
      <c r="AR223" s="18"/>
      <c r="AS223" s="15"/>
      <c r="AT223" s="15"/>
      <c r="AU223" s="15"/>
      <c r="AV223" s="15"/>
      <c r="AW223" s="15"/>
      <c r="AX223" s="15"/>
      <c r="AY223" s="15"/>
      <c r="AZ223" s="15"/>
      <c r="BA223" s="15"/>
      <c r="BB223" s="15"/>
      <c r="BC223" s="15"/>
      <c r="BD223" s="15"/>
      <c r="BE223" s="15"/>
      <c r="BF223" s="15"/>
      <c r="BG223" s="15"/>
      <c r="BH223" s="15"/>
      <c r="BI223" s="15"/>
      <c r="BJ223" s="15"/>
      <c r="BK223" s="17"/>
      <c r="BL223" s="16"/>
    </row>
    <row r="224" spans="1:64" ht="19.5" customHeight="1" x14ac:dyDescent="0.25">
      <c r="A224" s="18"/>
      <c r="B224" s="18"/>
      <c r="C224" s="20"/>
      <c r="D224" s="18"/>
      <c r="E224" s="18"/>
      <c r="F224" s="18"/>
      <c r="G224" s="18"/>
      <c r="H224" s="18"/>
      <c r="I224" s="18"/>
      <c r="J224" s="18"/>
      <c r="K224" s="19"/>
      <c r="L224" s="18"/>
      <c r="M224" s="18"/>
      <c r="N224" s="18"/>
      <c r="O224" s="19"/>
      <c r="P224" s="17"/>
      <c r="Q224" s="17"/>
      <c r="R224" s="16"/>
      <c r="S224" s="17"/>
      <c r="T224" s="17"/>
      <c r="U224" s="17"/>
      <c r="V224" s="17"/>
      <c r="W224" s="17"/>
      <c r="X224" s="16"/>
      <c r="Y224" s="16"/>
      <c r="Z224" s="16"/>
      <c r="AA224" s="17"/>
      <c r="AB224" s="17"/>
      <c r="AC224" s="18"/>
      <c r="AD224" s="18"/>
      <c r="AE224" s="17"/>
      <c r="AF224" s="17"/>
      <c r="AG224" s="17"/>
      <c r="AH224" s="17"/>
      <c r="AI224" s="17"/>
      <c r="AJ224" s="17"/>
      <c r="AK224" s="17"/>
      <c r="AL224" s="15"/>
      <c r="AM224" s="17"/>
      <c r="AN224" s="17"/>
      <c r="AO224" s="17"/>
      <c r="AP224" s="18"/>
      <c r="AQ224" s="18"/>
      <c r="AR224" s="18"/>
      <c r="AS224" s="15"/>
      <c r="AT224" s="15"/>
      <c r="AU224" s="15"/>
      <c r="AV224" s="15"/>
      <c r="AW224" s="15"/>
      <c r="AX224" s="15"/>
      <c r="AY224" s="15"/>
      <c r="AZ224" s="15"/>
      <c r="BA224" s="15"/>
      <c r="BB224" s="15"/>
      <c r="BC224" s="15"/>
      <c r="BD224" s="15"/>
      <c r="BE224" s="15"/>
      <c r="BF224" s="15"/>
      <c r="BG224" s="15"/>
      <c r="BH224" s="15"/>
      <c r="BI224" s="15"/>
      <c r="BJ224" s="15"/>
      <c r="BK224" s="17"/>
      <c r="BL224" s="16"/>
    </row>
    <row r="225" spans="1:64" ht="15.75" customHeight="1"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row>
    <row r="226" spans="1:64" ht="15.75" customHeight="1"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row>
    <row r="227" spans="1:64" ht="15.75" customHeight="1"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row>
    <row r="228" spans="1:64" ht="15.75" customHeight="1"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row>
    <row r="229" spans="1:64" ht="15.75" customHeight="1"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row>
    <row r="230" spans="1:64" ht="15.75" customHeight="1"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row>
    <row r="231" spans="1:64" ht="15.75" customHeight="1"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row>
    <row r="232" spans="1:64" ht="15.75" customHeight="1"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row>
    <row r="233" spans="1:64" ht="15.75" customHeight="1"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row>
    <row r="234" spans="1:64" ht="15.75" customHeight="1"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row>
    <row r="235" spans="1:64" ht="15.75" customHeight="1"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row>
    <row r="236" spans="1:64" ht="15.75" customHeight="1"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row>
    <row r="237" spans="1:64" ht="15.75" customHeight="1"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row>
    <row r="238" spans="1:64" ht="15.75" customHeight="1"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row>
    <row r="239" spans="1:64" ht="15.75" customHeight="1"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row>
    <row r="240" spans="1:64" ht="15.75" customHeight="1"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row>
    <row r="241" spans="1:64" ht="15.75" customHeight="1"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row>
    <row r="242" spans="1:64" ht="15.75" customHeight="1"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row>
    <row r="243" spans="1:64" ht="15.75" customHeight="1"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row>
    <row r="244" spans="1:64" ht="15.75" customHeight="1"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row>
    <row r="245" spans="1:64" ht="15.75" customHeight="1"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row>
    <row r="246" spans="1:64" ht="15.75" customHeight="1"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row>
    <row r="247" spans="1:64" ht="15.75" customHeight="1"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row>
    <row r="248" spans="1:64" ht="15.75" customHeight="1"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row>
    <row r="249" spans="1:64" ht="15.75" customHeight="1"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row>
    <row r="250" spans="1:64" ht="15.75" customHeight="1"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row>
    <row r="251" spans="1:64" ht="15.75" customHeight="1"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row>
    <row r="252" spans="1:64" ht="15.75" customHeight="1"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row>
    <row r="253" spans="1:64" ht="15.75" customHeight="1"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row>
    <row r="254" spans="1:64" ht="15.75" customHeight="1"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row>
    <row r="255" spans="1:64" ht="15.75" customHeight="1"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row>
    <row r="256" spans="1:64" ht="15.75" customHeight="1"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row>
    <row r="257" spans="1:64" ht="15.75" customHeight="1"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row>
    <row r="258" spans="1:64" ht="15.75" customHeight="1"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row>
    <row r="259" spans="1:64" ht="15.75" customHeight="1"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row>
    <row r="260" spans="1:64" ht="15.75" customHeight="1"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row>
    <row r="261" spans="1:64" ht="15.75" customHeight="1"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row>
    <row r="262" spans="1:64" ht="15.75" customHeight="1"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row>
    <row r="263" spans="1:64" ht="15.75" customHeight="1"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row>
    <row r="264" spans="1:64" ht="15.75" customHeight="1"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row>
    <row r="265" spans="1:64" ht="15.75" customHeight="1"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row>
    <row r="266" spans="1:64" ht="15.75" customHeight="1"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row>
    <row r="267" spans="1:64" ht="15.75" customHeight="1"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row>
    <row r="268" spans="1:64" ht="15.75" customHeight="1"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row>
    <row r="269" spans="1:64" ht="15.75" customHeight="1"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row>
    <row r="270" spans="1:64" ht="15.75" customHeight="1"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row>
    <row r="271" spans="1:64" ht="15.75" customHeight="1"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row>
    <row r="272" spans="1:64" ht="15.75" customHeight="1"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row>
    <row r="273" spans="1:64" ht="15.75" customHeight="1"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row>
    <row r="274" spans="1:64" ht="15.75" customHeight="1"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row>
    <row r="275" spans="1:64" ht="15.75" customHeight="1"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row>
    <row r="276" spans="1:64" ht="15.75" customHeight="1"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row>
    <row r="277" spans="1:64" ht="15.75" customHeight="1"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row>
    <row r="278" spans="1:64" ht="15.75" customHeight="1"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row>
    <row r="279" spans="1:64" ht="15.75" customHeight="1"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row>
    <row r="280" spans="1:64" ht="15.75" customHeight="1"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row>
    <row r="281" spans="1:64" ht="15.75" customHeight="1"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row>
    <row r="282" spans="1:64" ht="15.75" customHeight="1"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row>
    <row r="283" spans="1:64" ht="15.75" customHeight="1"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row>
    <row r="284" spans="1:64" ht="15.75" customHeight="1"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row>
    <row r="285" spans="1:64" ht="15.75" customHeight="1"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row>
    <row r="286" spans="1:64" ht="15.75" customHeight="1"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row>
    <row r="287" spans="1:64" ht="15.75" customHeight="1"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row>
    <row r="288" spans="1:64" ht="15.75" customHeight="1"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row>
    <row r="289" spans="1:64" ht="15.75" customHeight="1"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row>
    <row r="290" spans="1:64" ht="15.75" customHeight="1"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row>
    <row r="291" spans="1:64" ht="15.75" customHeight="1"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row>
    <row r="292" spans="1:64" ht="15.75" customHeight="1"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row>
    <row r="293" spans="1:64" ht="15.75" customHeight="1"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row>
    <row r="294" spans="1:64" ht="15.75" customHeight="1"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row>
    <row r="295" spans="1:64" ht="15.75" customHeight="1"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row>
    <row r="296" spans="1:64" ht="15.75" customHeight="1"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row>
    <row r="297" spans="1:64" ht="15.75" customHeight="1"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row>
    <row r="298" spans="1:64" ht="15.75" customHeight="1"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row>
    <row r="299" spans="1:64" ht="15.75" customHeight="1"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row>
    <row r="300" spans="1:64" ht="15.75" customHeight="1"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row>
    <row r="301" spans="1:64" ht="15.75" customHeight="1"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row>
    <row r="302" spans="1:64" ht="15.75" customHeight="1"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row>
    <row r="303" spans="1:64" ht="15.75" customHeight="1"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row>
    <row r="304" spans="1:64" ht="15.75" customHeight="1"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row>
    <row r="305" spans="1:64" ht="15.75" customHeight="1"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row>
    <row r="306" spans="1:64" ht="15.75" customHeight="1"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row>
    <row r="307" spans="1:64" ht="15.75" customHeight="1"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row>
    <row r="308" spans="1:64" ht="15.75" customHeight="1"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row>
    <row r="309" spans="1:64" ht="15.75" customHeight="1"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row>
    <row r="310" spans="1:64" ht="15.75" customHeight="1"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row>
    <row r="311" spans="1:64" ht="15.75" customHeight="1"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row>
    <row r="312" spans="1:64" ht="15.75" customHeight="1"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row>
    <row r="313" spans="1:64" ht="15.75" customHeight="1"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row>
    <row r="314" spans="1:64" ht="15.75" customHeight="1"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row>
    <row r="315" spans="1:64" ht="15.75" customHeight="1"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row>
    <row r="316" spans="1:64" ht="15.75" customHeight="1"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row>
    <row r="317" spans="1:64" ht="15.75" customHeight="1"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row>
    <row r="318" spans="1:64" ht="15.75" customHeight="1"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row>
    <row r="319" spans="1:64" ht="15.75" customHeight="1"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row>
    <row r="320" spans="1:64" ht="15.75" customHeight="1"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row>
    <row r="321" spans="1:64" ht="15.75" customHeight="1"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row>
    <row r="322" spans="1:64" ht="15.75" customHeight="1"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row>
    <row r="323" spans="1:64" ht="15.75" customHeight="1"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row>
    <row r="324" spans="1:64" ht="15.75" customHeight="1"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row>
    <row r="325" spans="1:64" ht="15.75" customHeight="1"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row>
    <row r="326" spans="1:64" ht="15.75" customHeight="1"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row>
    <row r="327" spans="1:64" ht="15.75" customHeight="1"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row>
    <row r="328" spans="1:64" ht="15.75" customHeight="1"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row>
    <row r="329" spans="1:64" ht="15.75" customHeight="1"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row>
    <row r="330" spans="1:64" ht="15.75" customHeight="1"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row>
    <row r="331" spans="1:64" ht="15.75" customHeight="1"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row>
    <row r="332" spans="1:64" ht="15.75" customHeight="1"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row>
    <row r="333" spans="1:64" ht="15.75" customHeight="1"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row>
    <row r="334" spans="1:64" ht="15.75" customHeight="1"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row>
    <row r="335" spans="1:64" ht="15.75" customHeight="1"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row>
    <row r="336" spans="1:64" ht="15.75" customHeight="1"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row>
    <row r="337" spans="1:64" ht="15.75" customHeight="1"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row>
    <row r="338" spans="1:64" ht="15.75" customHeight="1"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row>
    <row r="339" spans="1:64" ht="15.75" customHeight="1"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row>
    <row r="340" spans="1:64" ht="15.75" customHeight="1"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row>
    <row r="341" spans="1:64" ht="15.75" customHeight="1"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row>
    <row r="342" spans="1:64" ht="15.75" customHeight="1"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row>
    <row r="343" spans="1:64" ht="15.75" customHeight="1"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row>
    <row r="344" spans="1:64" ht="15.75" customHeight="1"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row>
    <row r="345" spans="1:64" ht="15.75" customHeight="1"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row>
    <row r="346" spans="1:64" ht="15.75" customHeight="1"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row>
    <row r="347" spans="1:64" ht="15.75" customHeight="1"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row>
    <row r="348" spans="1:64" ht="15.75" customHeight="1"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row>
    <row r="349" spans="1:64" ht="15.75" customHeight="1"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row>
    <row r="350" spans="1:64" ht="15.75" customHeight="1"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row>
    <row r="351" spans="1:64" ht="15.75" customHeight="1"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row>
    <row r="352" spans="1:64" ht="15.75" customHeight="1"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row>
    <row r="353" spans="1:64" ht="15.75" customHeight="1"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row>
    <row r="354" spans="1:64" ht="15.75" customHeight="1"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row>
    <row r="355" spans="1:64" ht="15.75" customHeight="1"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row>
    <row r="356" spans="1:64" ht="15.75" customHeight="1"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row>
    <row r="357" spans="1:64" ht="15.75" customHeight="1"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row>
    <row r="358" spans="1:64" ht="15.75" customHeight="1"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row>
    <row r="359" spans="1:64" ht="15.75" customHeight="1"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row>
    <row r="360" spans="1:64" ht="15.75" customHeight="1"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row>
    <row r="361" spans="1:64" ht="15.75" customHeight="1"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row>
    <row r="362" spans="1:64" ht="15.75" customHeight="1"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row>
    <row r="363" spans="1:64" ht="15.75" customHeight="1"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row>
    <row r="364" spans="1:64" ht="15.75" customHeight="1"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row>
    <row r="365" spans="1:64" ht="15.75" customHeight="1"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row>
    <row r="366" spans="1:64" ht="15.75" customHeight="1"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row>
    <row r="367" spans="1:64" ht="15.75" customHeight="1"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row>
    <row r="368" spans="1:64" ht="15.75" customHeight="1"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row>
    <row r="369" spans="1:64" ht="15.75" customHeight="1"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row>
    <row r="370" spans="1:64" ht="15.75" customHeight="1"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row>
    <row r="371" spans="1:64" ht="15.75" customHeight="1"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row>
    <row r="372" spans="1:64" ht="15.75" customHeight="1"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row>
    <row r="373" spans="1:64" ht="15.75" customHeight="1"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row>
    <row r="374" spans="1:64" ht="15.75" customHeight="1"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row>
    <row r="375" spans="1:64" ht="15.75" customHeight="1"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row>
    <row r="376" spans="1:64" ht="15.75" customHeight="1"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row>
    <row r="377" spans="1:64" ht="15.75" customHeight="1"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row>
    <row r="378" spans="1:64" ht="15.75" customHeight="1"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row>
    <row r="379" spans="1:64" ht="15.75" customHeight="1"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row>
    <row r="380" spans="1:64" ht="15.75" customHeight="1"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row>
    <row r="381" spans="1:64" ht="15.75" customHeight="1"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row>
    <row r="382" spans="1:64" ht="15.75" customHeight="1"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row>
    <row r="383" spans="1:64" ht="15.75" customHeight="1"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row>
    <row r="384" spans="1:64" ht="15.75" customHeight="1"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row>
    <row r="385" spans="1:64" ht="15.75" customHeight="1"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row>
    <row r="386" spans="1:64" ht="15.75" customHeight="1"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row>
    <row r="387" spans="1:64" ht="15.75" customHeight="1"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row>
    <row r="388" spans="1:64" ht="15.75" customHeight="1"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row>
    <row r="389" spans="1:64" ht="15.75" customHeight="1"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row>
    <row r="390" spans="1:64" ht="15.75" customHeight="1"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row>
    <row r="391" spans="1:64" ht="15.75" customHeight="1"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row>
    <row r="392" spans="1:64" ht="15.75" customHeight="1"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row>
    <row r="393" spans="1:64" ht="15.75" customHeight="1"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row>
    <row r="394" spans="1:64" ht="15.75" customHeight="1"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row>
    <row r="395" spans="1:64" ht="15.75" customHeight="1"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row>
    <row r="396" spans="1:64" ht="15.75" customHeight="1"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row>
    <row r="397" spans="1:64" ht="15.75" customHeight="1"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row>
    <row r="398" spans="1:64" ht="15.75" customHeight="1"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row>
    <row r="399" spans="1:64" ht="15.75" customHeight="1"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row>
    <row r="400" spans="1:64" ht="15.75" customHeight="1"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row>
    <row r="401" spans="1:64" ht="15.75" customHeight="1"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row>
    <row r="402" spans="1:64" ht="15.75" customHeight="1"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row>
    <row r="403" spans="1:64" ht="15.75" customHeight="1"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row>
    <row r="404" spans="1:64" ht="15.75" customHeight="1"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row>
    <row r="405" spans="1:64" ht="15.75" customHeight="1"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row>
    <row r="406" spans="1:64" ht="15.75" customHeight="1"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row>
    <row r="407" spans="1:64" ht="15.75" customHeight="1"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row>
    <row r="408" spans="1:64" ht="15.75" customHeight="1"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row>
    <row r="409" spans="1:64" ht="15.75" customHeight="1"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row>
    <row r="410" spans="1:64" ht="15.75" customHeight="1"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row>
    <row r="411" spans="1:64" ht="15.75" customHeight="1"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row>
    <row r="412" spans="1:64" ht="15.75" customHeight="1"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row>
    <row r="413" spans="1:64" ht="15.75" customHeight="1"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row>
    <row r="414" spans="1:64" ht="15.75" customHeight="1"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row>
    <row r="415" spans="1:64" ht="15.75" customHeight="1"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row>
    <row r="416" spans="1:64" ht="15.75" customHeight="1"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row>
    <row r="417" spans="1:64" ht="15.75" customHeight="1"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row>
    <row r="418" spans="1:64" ht="15.75" customHeight="1"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row>
    <row r="419" spans="1:64" ht="15.75" customHeight="1"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row>
    <row r="420" spans="1:64" ht="15.75" customHeight="1"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row>
    <row r="421" spans="1:64" ht="15.75" customHeight="1"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row>
    <row r="422" spans="1:64" ht="15.75" customHeight="1"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row>
    <row r="423" spans="1:64" ht="15.75" customHeight="1"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row>
    <row r="424" spans="1:64" ht="15.75" customHeight="1"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row>
    <row r="425" spans="1:64" ht="15.75" customHeight="1"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row>
    <row r="426" spans="1:64" ht="15.75" customHeight="1"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row>
    <row r="427" spans="1:64" ht="15.75" customHeight="1"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row>
    <row r="428" spans="1:64" ht="15.75" customHeight="1"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row>
    <row r="429" spans="1:64" ht="15.75" customHeight="1"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row>
    <row r="430" spans="1:64" ht="15.75" customHeight="1"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row>
    <row r="431" spans="1:64" ht="15.75" customHeight="1"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row>
    <row r="432" spans="1:64" ht="15.75" customHeight="1"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row>
    <row r="433" spans="1:64" ht="15.75" customHeight="1"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row>
    <row r="434" spans="1:64" ht="15.75" customHeight="1"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row>
    <row r="435" spans="1:64" ht="15.75" customHeight="1"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row>
    <row r="436" spans="1:64" ht="15.75" customHeight="1"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row>
    <row r="437" spans="1:64" ht="15.75" customHeight="1"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row>
    <row r="438" spans="1:64" ht="15.75" customHeight="1"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row>
    <row r="439" spans="1:64" ht="15.75" customHeight="1"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row>
    <row r="440" spans="1:64" ht="15.75" customHeight="1"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row>
    <row r="441" spans="1:64" ht="15.75" customHeight="1"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row>
    <row r="442" spans="1:64" ht="15.75" customHeight="1"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row>
    <row r="443" spans="1:64" ht="15.75" customHeight="1"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row>
    <row r="444" spans="1:64" ht="15.75" customHeight="1"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row>
    <row r="445" spans="1:64" ht="15.75" customHeight="1"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row>
    <row r="446" spans="1:64" ht="15.75" customHeight="1"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row>
    <row r="447" spans="1:64" ht="15.75" customHeight="1"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row>
    <row r="448" spans="1:64" ht="15.75" customHeight="1"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row>
    <row r="449" spans="1:64" ht="15.75" customHeight="1"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row>
    <row r="450" spans="1:64" ht="15.75" customHeight="1"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row>
    <row r="451" spans="1:64" ht="15.75" customHeight="1"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row>
    <row r="452" spans="1:64" ht="15.75" customHeight="1"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row>
    <row r="453" spans="1:64" ht="15.75" customHeight="1"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row>
    <row r="454" spans="1:64" ht="15.75" customHeight="1"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row>
    <row r="455" spans="1:64" ht="15.75" customHeight="1"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row>
    <row r="456" spans="1:64" ht="15.75" customHeight="1"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row>
    <row r="457" spans="1:64" ht="15.75" customHeight="1"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row>
    <row r="458" spans="1:64" ht="15.75" customHeight="1"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row>
    <row r="459" spans="1:64" ht="15.75" customHeight="1"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row>
    <row r="460" spans="1:64" ht="15.75" customHeight="1"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row>
    <row r="461" spans="1:64" ht="15.75" customHeight="1"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row>
    <row r="462" spans="1:64" ht="15.75" customHeight="1"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row>
    <row r="463" spans="1:64" ht="15.75" customHeight="1"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row>
    <row r="464" spans="1:64" ht="15.75" customHeight="1"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row>
    <row r="465" spans="1:64" ht="15.75" customHeight="1"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row>
    <row r="466" spans="1:64" ht="15.75" customHeight="1"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row>
    <row r="467" spans="1:64" ht="15.75" customHeight="1"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row>
    <row r="468" spans="1:64" ht="15.75" customHeight="1"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row>
    <row r="469" spans="1:64" ht="15.75" customHeight="1"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row>
    <row r="470" spans="1:64" ht="15.75" customHeight="1"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row>
    <row r="471" spans="1:64" ht="15.75" customHeight="1"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row>
    <row r="472" spans="1:64" ht="15.75" customHeight="1"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row>
    <row r="473" spans="1:64" ht="15.75" customHeight="1"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row>
    <row r="474" spans="1:64" ht="15.75" customHeight="1"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row>
    <row r="475" spans="1:64" ht="15.75" customHeight="1"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row>
    <row r="476" spans="1:64" ht="15.75" customHeight="1"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row>
    <row r="477" spans="1:64" ht="15.75" customHeight="1"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row>
    <row r="478" spans="1:64" ht="15.75" customHeight="1"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row>
    <row r="479" spans="1:64" ht="15.75" customHeight="1"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row>
    <row r="480" spans="1:64" ht="15.75" customHeight="1"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row>
    <row r="481" spans="1:64" ht="15.75" customHeight="1"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row>
    <row r="482" spans="1:64" ht="15.75" customHeight="1"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row>
    <row r="483" spans="1:64" ht="15.75" customHeight="1"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row>
    <row r="484" spans="1:64" ht="15.75" customHeight="1"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row>
    <row r="485" spans="1:64" ht="15.75" customHeight="1"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row>
    <row r="486" spans="1:64" ht="15.75" customHeight="1"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row>
    <row r="487" spans="1:64" ht="15.75" customHeight="1"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row>
    <row r="488" spans="1:64" ht="15.75" customHeight="1"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row>
    <row r="489" spans="1:64" ht="15.75" customHeight="1"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row>
    <row r="490" spans="1:64" ht="15.75" customHeight="1"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row>
    <row r="491" spans="1:64" ht="15.75" customHeight="1"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row>
    <row r="492" spans="1:64" ht="15.75" customHeight="1"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row>
    <row r="493" spans="1:64" ht="15.75" customHeight="1"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row>
    <row r="494" spans="1:64" ht="15.75" customHeight="1"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row>
    <row r="495" spans="1:64" ht="15.75" customHeight="1"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row>
    <row r="496" spans="1:64" ht="15.75" customHeight="1"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row>
    <row r="497" spans="1:64" ht="15.75" customHeight="1"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row>
    <row r="498" spans="1:64" ht="15.75" customHeight="1"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row>
    <row r="499" spans="1:64" ht="15.75" customHeight="1"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row>
    <row r="500" spans="1:64" ht="15.75" customHeight="1"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row>
    <row r="501" spans="1:64" ht="15.75" customHeight="1"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row>
    <row r="502" spans="1:64" ht="15.75" customHeight="1"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row>
    <row r="503" spans="1:64" ht="15.75" customHeight="1"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row>
    <row r="504" spans="1:64" ht="15.75" customHeight="1"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row>
    <row r="505" spans="1:64" ht="15.75" customHeight="1"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row>
    <row r="506" spans="1:64" ht="15.75" customHeight="1"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row>
    <row r="507" spans="1:64" ht="15.75" customHeight="1"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row>
    <row r="508" spans="1:64" ht="15.75" customHeight="1"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row>
    <row r="509" spans="1:64" ht="15.75" customHeight="1"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row>
    <row r="510" spans="1:64" ht="15.75" customHeight="1"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row>
    <row r="511" spans="1:64" ht="15.75" customHeight="1"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row>
    <row r="512" spans="1:64" ht="15.75" customHeight="1"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row>
    <row r="513" spans="1:64" ht="15.75" customHeight="1"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row>
    <row r="514" spans="1:64" ht="15.75" customHeight="1"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row>
    <row r="515" spans="1:64" ht="15.75" customHeight="1"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row>
    <row r="516" spans="1:64" ht="15.75" customHeight="1"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row>
    <row r="517" spans="1:64" ht="15.75" customHeight="1"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row>
    <row r="518" spans="1:64" ht="15.75" customHeight="1"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row>
    <row r="519" spans="1:64" ht="15.75" customHeight="1"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row>
    <row r="520" spans="1:64" ht="15.75" customHeight="1"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row>
    <row r="521" spans="1:64" ht="15.75" customHeight="1"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row>
    <row r="522" spans="1:64" ht="15.75" customHeight="1"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row>
    <row r="523" spans="1:64" ht="15.75" customHeight="1"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row>
    <row r="524" spans="1:64" ht="15.75" customHeight="1"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row>
    <row r="525" spans="1:64" ht="15.75" customHeight="1"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row>
    <row r="526" spans="1:64" ht="15.75" customHeight="1"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row>
    <row r="527" spans="1:64" ht="15.75" customHeight="1"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row>
    <row r="528" spans="1:64" ht="15.75" customHeight="1"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row>
    <row r="529" spans="1:64" ht="15.75" customHeight="1"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row>
    <row r="530" spans="1:64" ht="15.75" customHeight="1"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row>
    <row r="531" spans="1:64" ht="15.75" customHeight="1"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row>
    <row r="532" spans="1:64" ht="15.75" customHeight="1"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row>
    <row r="533" spans="1:64" ht="15.75" customHeight="1"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row>
    <row r="534" spans="1:64" ht="15.75" customHeight="1"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row>
    <row r="535" spans="1:64" ht="15.75" customHeight="1"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row>
    <row r="536" spans="1:64" ht="15.75" customHeight="1"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row>
    <row r="537" spans="1:64" ht="15.75" customHeight="1"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row>
    <row r="538" spans="1:64" ht="15.75" customHeight="1"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row>
    <row r="539" spans="1:64" ht="15.75" customHeight="1"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row>
    <row r="540" spans="1:64" ht="15.75" customHeight="1"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row>
    <row r="541" spans="1:64" ht="15.75" customHeight="1"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row>
    <row r="542" spans="1:64" ht="15.75" customHeight="1"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row>
    <row r="543" spans="1:64" ht="15.75" customHeight="1"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row>
    <row r="544" spans="1:64" ht="15.75" customHeight="1"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row>
    <row r="545" spans="1:64" ht="15.75" customHeight="1"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row>
    <row r="546" spans="1:64" ht="15.75" customHeight="1"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row>
    <row r="547" spans="1:64" ht="15.75" customHeight="1"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row>
    <row r="548" spans="1:64" ht="15.75" customHeight="1"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row>
    <row r="549" spans="1:64" ht="15.75" customHeight="1"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row>
    <row r="550" spans="1:64" ht="15.75" customHeight="1"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row>
    <row r="551" spans="1:64" ht="15.75" customHeight="1"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row>
    <row r="552" spans="1:64" ht="15.75" customHeight="1"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row>
    <row r="553" spans="1:64" ht="15.75" customHeight="1"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row>
    <row r="554" spans="1:64" ht="15.75" customHeight="1"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row>
    <row r="555" spans="1:64" ht="15.75" customHeight="1"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row>
    <row r="556" spans="1:64" ht="15.75" customHeight="1"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row>
    <row r="557" spans="1:64" ht="15.75" customHeight="1"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row>
    <row r="558" spans="1:64" ht="15.75" customHeight="1"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row>
    <row r="559" spans="1:64" ht="15.75" customHeight="1"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row>
    <row r="560" spans="1:64" ht="15.75" customHeight="1"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row>
    <row r="561" spans="1:64" ht="15.75" customHeight="1"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row>
    <row r="562" spans="1:64" ht="15.75" customHeight="1"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row>
    <row r="563" spans="1:64" ht="15.75" customHeight="1"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row>
    <row r="564" spans="1:64" ht="15.75" customHeight="1"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row>
    <row r="565" spans="1:64" ht="15.75" customHeight="1"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row>
    <row r="566" spans="1:64" ht="15.75" customHeight="1"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row>
    <row r="567" spans="1:64" ht="15.75" customHeight="1"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row>
    <row r="568" spans="1:64" ht="15.75" customHeight="1"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row>
    <row r="569" spans="1:64" ht="15.75" customHeight="1"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row>
    <row r="570" spans="1:64" ht="15.75" customHeight="1"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row>
    <row r="571" spans="1:64" ht="15.75" customHeight="1"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row>
    <row r="572" spans="1:64" ht="15.75" customHeight="1"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row>
    <row r="573" spans="1:64" ht="15.75" customHeight="1"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row>
    <row r="574" spans="1:64" ht="15.75" customHeight="1"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row>
    <row r="575" spans="1:64" ht="15.75" customHeight="1"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row>
    <row r="576" spans="1:64" ht="15.75" customHeight="1"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row>
    <row r="577" spans="1:64" ht="15.75" customHeight="1"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row>
    <row r="578" spans="1:64" ht="15.75" customHeight="1"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row>
    <row r="579" spans="1:64" ht="15.75" customHeight="1"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row>
    <row r="580" spans="1:64" ht="15.75" customHeight="1"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row>
    <row r="581" spans="1:64" ht="15.75" customHeight="1"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row>
    <row r="582" spans="1:64" ht="15.75" customHeight="1"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row>
    <row r="583" spans="1:64" ht="15.75" customHeight="1"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row>
    <row r="584" spans="1:64" ht="15.75" customHeight="1"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row>
    <row r="585" spans="1:64" ht="15.75" customHeight="1"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row>
    <row r="586" spans="1:64" ht="15.75" customHeight="1"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row>
    <row r="587" spans="1:64" ht="15.75" customHeight="1"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row>
    <row r="588" spans="1:64" ht="15.75" customHeight="1"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row>
    <row r="589" spans="1:64" ht="15.75" customHeight="1"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row>
    <row r="590" spans="1:64" ht="15.75" customHeight="1"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row>
    <row r="591" spans="1:64" ht="15.75" customHeight="1"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row>
    <row r="592" spans="1:64" ht="15.75" customHeight="1"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row>
    <row r="593" spans="1:64" ht="15.75" customHeight="1"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row>
    <row r="594" spans="1:64" ht="15.75" customHeight="1"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row>
    <row r="595" spans="1:64" ht="15.75" customHeight="1"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row>
    <row r="596" spans="1:64" ht="15.75" customHeight="1"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row>
    <row r="597" spans="1:64" ht="15.75" customHeight="1"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row>
    <row r="598" spans="1:64" ht="15.75" customHeight="1"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row>
    <row r="599" spans="1:64" ht="15.75" customHeight="1"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row>
    <row r="600" spans="1:64" ht="15.75" customHeight="1"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row>
    <row r="601" spans="1:64" ht="15.75" customHeight="1"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row>
    <row r="602" spans="1:64" ht="15.75" customHeight="1"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row>
    <row r="603" spans="1:64" ht="15.75" customHeight="1"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row>
    <row r="604" spans="1:64" ht="15.75" customHeight="1"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row>
    <row r="605" spans="1:64" ht="15.75" customHeight="1"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row>
    <row r="606" spans="1:64" ht="15.75" customHeight="1"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row>
    <row r="607" spans="1:64" ht="15.75" customHeight="1"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row>
    <row r="608" spans="1:64" ht="15.75" customHeight="1"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row>
    <row r="609" spans="1:64" ht="15.75" customHeight="1"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row>
    <row r="610" spans="1:64" ht="15.75" customHeight="1"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row>
    <row r="611" spans="1:64" ht="15.75" customHeight="1"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row>
    <row r="612" spans="1:64" ht="15.75" customHeight="1"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row>
    <row r="613" spans="1:64" ht="15.75" customHeight="1"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row>
    <row r="614" spans="1:64" ht="15.75" customHeight="1"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row>
    <row r="615" spans="1:64" ht="15.75" customHeight="1"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row>
    <row r="616" spans="1:64" ht="15.75" customHeight="1"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row>
    <row r="617" spans="1:64" ht="15.75" customHeight="1"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row>
    <row r="618" spans="1:64" ht="15.75" customHeight="1"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row>
    <row r="619" spans="1:64" ht="15.75" customHeight="1"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row>
    <row r="620" spans="1:64" ht="15.75" customHeight="1"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row>
    <row r="621" spans="1:64" ht="15.75" customHeight="1"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row>
    <row r="622" spans="1:64" ht="15.75" customHeight="1"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row>
    <row r="623" spans="1:64" ht="15.75" customHeight="1"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row>
    <row r="624" spans="1:64" ht="15.75" customHeight="1"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row>
    <row r="625" spans="1:64" ht="15.75" customHeight="1"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row>
    <row r="626" spans="1:64" ht="15.75" customHeight="1"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row>
    <row r="627" spans="1:64" ht="15.75" customHeight="1"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row>
    <row r="628" spans="1:64" ht="15.75" customHeight="1"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row>
    <row r="629" spans="1:64" ht="15.75" customHeight="1"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row>
    <row r="630" spans="1:64" ht="15.75" customHeight="1"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row>
    <row r="631" spans="1:64" ht="15.75" customHeight="1"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row>
    <row r="632" spans="1:64" ht="15.75" customHeight="1"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row>
    <row r="633" spans="1:64" ht="15.75" customHeight="1"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row>
    <row r="634" spans="1:64" ht="15.75" customHeight="1"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row>
    <row r="635" spans="1:64" ht="15.75" customHeight="1"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row>
    <row r="636" spans="1:64" ht="15.75" customHeight="1"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row>
    <row r="637" spans="1:64" ht="15.75" customHeight="1"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row>
    <row r="638" spans="1:64" ht="15.75" customHeight="1"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row>
    <row r="639" spans="1:64" ht="15.75" customHeight="1"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row>
    <row r="640" spans="1:64" ht="15.75" customHeight="1"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row>
    <row r="641" spans="1:64" ht="15.75" customHeight="1"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row>
    <row r="642" spans="1:64" ht="15.75" customHeight="1"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row>
    <row r="643" spans="1:64" ht="15.75" customHeight="1"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row>
    <row r="644" spans="1:64" ht="15.75" customHeight="1"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row>
    <row r="645" spans="1:64" ht="15.75" customHeight="1"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row>
    <row r="646" spans="1:64" ht="15.75" customHeight="1"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row>
    <row r="647" spans="1:64" ht="15.75" customHeight="1"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row>
    <row r="648" spans="1:64" ht="15.75" customHeight="1"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row>
    <row r="649" spans="1:64" ht="15.75" customHeight="1"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row>
    <row r="650" spans="1:64" ht="15.75" customHeight="1"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row>
    <row r="651" spans="1:64" ht="15.75" customHeight="1"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row>
    <row r="652" spans="1:64" ht="15.75" customHeight="1"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row>
    <row r="653" spans="1:64" ht="15.75" customHeight="1"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row>
    <row r="654" spans="1:64" ht="15.75" customHeight="1"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row>
    <row r="655" spans="1:64" ht="15.75" customHeight="1"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row>
    <row r="656" spans="1:64" ht="15.75" customHeight="1"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row>
    <row r="657" spans="1:64" ht="15.75" customHeight="1"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row>
    <row r="658" spans="1:64" ht="15.75" customHeight="1"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row>
    <row r="659" spans="1:64" ht="15.75" customHeight="1"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row>
    <row r="660" spans="1:64" ht="15.75" customHeight="1"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row>
    <row r="661" spans="1:64" ht="15.75" customHeight="1"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row>
    <row r="662" spans="1:64" ht="15.75" customHeight="1"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row>
    <row r="663" spans="1:64" ht="15.75" customHeight="1"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row>
    <row r="664" spans="1:64" ht="15.75" customHeight="1"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row>
    <row r="665" spans="1:64" ht="15.75" customHeight="1"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row>
    <row r="666" spans="1:64" ht="15.75" customHeight="1"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row>
    <row r="667" spans="1:64" ht="15.75" customHeight="1"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row>
    <row r="668" spans="1:64" ht="15.75" customHeight="1"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row>
    <row r="669" spans="1:64" ht="15.75" customHeight="1"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row>
    <row r="670" spans="1:64" ht="15.75" customHeight="1"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row>
    <row r="671" spans="1:64" ht="15.75" customHeight="1"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row>
    <row r="672" spans="1:64" ht="15.75" customHeight="1"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row>
    <row r="673" spans="1:64" ht="15.75" customHeight="1"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row>
    <row r="674" spans="1:64" ht="15.75" customHeight="1"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row>
    <row r="675" spans="1:64" ht="15.75" customHeight="1"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row>
    <row r="676" spans="1:64" ht="15.75" customHeight="1"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row>
    <row r="677" spans="1:64" ht="15.75" customHeight="1"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row>
    <row r="678" spans="1:64" ht="15.75" customHeight="1"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row>
    <row r="679" spans="1:64" ht="15.75" customHeight="1"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row>
    <row r="680" spans="1:64" ht="15.75" customHeight="1"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row>
    <row r="681" spans="1:64" ht="15.75" customHeight="1"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row>
    <row r="682" spans="1:64" ht="15.75" customHeight="1"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row>
    <row r="683" spans="1:64" ht="15.75" customHeight="1"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row>
    <row r="684" spans="1:64" ht="15.75" customHeight="1"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row>
    <row r="685" spans="1:64" ht="15.75" customHeight="1"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row>
    <row r="686" spans="1:64" ht="15.75" customHeight="1"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row>
    <row r="687" spans="1:64" ht="15.75" customHeight="1"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row>
    <row r="688" spans="1:64" ht="15.75" customHeight="1"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row>
    <row r="689" spans="1:64" ht="15.75" customHeight="1"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row>
    <row r="690" spans="1:64" ht="15.75" customHeight="1"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row>
    <row r="691" spans="1:64" ht="15.75" customHeight="1"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row>
    <row r="692" spans="1:64" ht="15.75" customHeight="1"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row>
    <row r="693" spans="1:64" ht="15.75" customHeight="1"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row>
    <row r="694" spans="1:64" ht="15.75" customHeight="1"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row>
    <row r="695" spans="1:64" ht="15.75" customHeight="1"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row>
    <row r="696" spans="1:64" ht="15.75" customHeight="1"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row>
    <row r="697" spans="1:64" ht="15.75" customHeight="1"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row>
    <row r="698" spans="1:64" ht="15.75" customHeight="1"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row>
    <row r="699" spans="1:64" ht="15.75" customHeight="1"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row>
    <row r="700" spans="1:64" ht="15.75" customHeight="1"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row>
    <row r="701" spans="1:64" ht="15.75" customHeight="1"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row>
    <row r="702" spans="1:64" ht="15.75" customHeight="1"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row>
    <row r="703" spans="1:64" ht="15.75" customHeight="1"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row>
    <row r="704" spans="1:64" ht="15.75" customHeight="1"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row>
    <row r="705" spans="1:64" ht="15.75" customHeight="1"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row>
    <row r="706" spans="1:64" ht="15.75" customHeight="1"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row>
    <row r="707" spans="1:64" ht="15.75" customHeight="1"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row>
    <row r="708" spans="1:64" ht="15.75" customHeight="1"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row>
    <row r="709" spans="1:64" ht="15.75" customHeight="1"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row>
    <row r="710" spans="1:64" ht="15.75" customHeight="1"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row>
    <row r="711" spans="1:64" ht="15.75" customHeight="1"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row>
    <row r="712" spans="1:64" ht="15.75" customHeight="1"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row>
    <row r="713" spans="1:64" ht="15.75" customHeight="1"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row>
    <row r="714" spans="1:64" ht="15.75" customHeight="1"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row>
    <row r="715" spans="1:64" ht="15.75" customHeight="1"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row>
    <row r="716" spans="1:64" ht="15.75" customHeight="1"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row>
    <row r="717" spans="1:64" ht="15.75" customHeight="1"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row>
    <row r="718" spans="1:64" ht="15.75" customHeight="1"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row>
    <row r="719" spans="1:64" ht="15.75" customHeight="1"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row>
    <row r="720" spans="1:64" ht="15.75" customHeight="1"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row>
    <row r="721" spans="1:64" ht="15.75" customHeight="1"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row>
    <row r="722" spans="1:64" ht="15.75" customHeight="1"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row>
    <row r="723" spans="1:64" ht="15.75" customHeight="1"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row>
    <row r="724" spans="1:64" ht="15.75" customHeight="1"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row>
    <row r="725" spans="1:64" ht="15.75" customHeight="1"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row>
    <row r="726" spans="1:64" ht="15.75" customHeight="1"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row>
    <row r="727" spans="1:64" ht="15.75" customHeight="1"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row>
    <row r="728" spans="1:64" ht="15.75" customHeight="1"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row>
    <row r="729" spans="1:64" ht="15.75" customHeight="1"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row>
    <row r="730" spans="1:64" ht="15.75" customHeight="1"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row>
    <row r="731" spans="1:64" ht="15.75" customHeight="1"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row>
    <row r="732" spans="1:64" ht="15.75" customHeight="1"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row>
    <row r="733" spans="1:64" ht="15.75" customHeight="1"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row>
    <row r="734" spans="1:64" ht="15.75" customHeight="1"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row>
    <row r="735" spans="1:64" ht="15.75" customHeight="1"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row>
    <row r="736" spans="1:64" ht="15.75" customHeight="1"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row>
    <row r="737" spans="1:64" ht="15.75" customHeight="1"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row>
    <row r="738" spans="1:64" ht="15.75" customHeight="1"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row>
    <row r="739" spans="1:64" ht="15.75" customHeight="1"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row>
    <row r="740" spans="1:64" ht="15.75" customHeight="1"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row>
    <row r="741" spans="1:64" ht="15.75" customHeight="1"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row>
    <row r="742" spans="1:64" ht="15.75" customHeight="1"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row>
    <row r="743" spans="1:64" ht="15.75" customHeight="1"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row>
    <row r="744" spans="1:64" ht="15.75" customHeight="1"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row>
    <row r="745" spans="1:64" ht="15.75" customHeight="1"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row>
    <row r="746" spans="1:64" ht="15.75" customHeight="1"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row>
    <row r="747" spans="1:64" ht="15.75" customHeight="1"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row>
    <row r="748" spans="1:64" ht="15.75" customHeight="1"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row>
    <row r="749" spans="1:64" ht="15.75" customHeight="1"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row>
    <row r="750" spans="1:64" ht="15.75" customHeight="1"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row>
    <row r="751" spans="1:64" ht="15.75" customHeight="1"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row>
    <row r="752" spans="1:64" ht="15.75" customHeight="1"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row>
    <row r="753" spans="1:64" ht="15.75" customHeight="1"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row>
    <row r="754" spans="1:64" ht="15.75" customHeight="1"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row>
    <row r="755" spans="1:64" ht="15.75" customHeight="1"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row>
    <row r="756" spans="1:64" ht="15.75" customHeight="1"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row>
    <row r="757" spans="1:64" ht="15.75" customHeight="1"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row>
    <row r="758" spans="1:64" ht="15.75" customHeight="1"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row>
    <row r="759" spans="1:64" ht="15.75" customHeight="1"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row>
    <row r="760" spans="1:64" ht="15.75" customHeight="1"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row>
    <row r="761" spans="1:64" ht="15.75" customHeight="1"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row>
    <row r="762" spans="1:64" ht="15.75" customHeight="1"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row>
    <row r="763" spans="1:64" ht="15.75" customHeight="1"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row>
    <row r="764" spans="1:64" ht="15.75" customHeight="1"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row>
    <row r="765" spans="1:64" ht="15.75" customHeight="1"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row>
    <row r="766" spans="1:64" ht="15.75" customHeight="1"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row>
    <row r="767" spans="1:64" ht="15.75" customHeight="1"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row>
    <row r="768" spans="1:64" ht="15.75" customHeight="1"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row>
    <row r="769" spans="1:64" ht="15.75" customHeight="1"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row>
    <row r="770" spans="1:64" ht="15.75" customHeight="1"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row>
    <row r="771" spans="1:64" ht="15.75" customHeight="1"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row>
    <row r="772" spans="1:64" ht="15.75" customHeight="1"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row>
    <row r="773" spans="1:64" ht="15.75" customHeight="1"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row>
    <row r="774" spans="1:64" ht="15.75" customHeight="1"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row>
    <row r="775" spans="1:64" ht="15.75" customHeight="1"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row>
    <row r="776" spans="1:64" ht="15.75" customHeight="1"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row>
    <row r="777" spans="1:64" ht="15.75" customHeight="1"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row>
    <row r="778" spans="1:64" ht="15.75" customHeight="1"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row>
    <row r="779" spans="1:64" ht="15.75" customHeight="1"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row>
    <row r="780" spans="1:64" ht="15.75" customHeight="1"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row>
    <row r="781" spans="1:64" ht="15.75" customHeight="1"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row>
    <row r="782" spans="1:64" ht="15.75" customHeight="1"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row>
    <row r="783" spans="1:64" ht="15.75" customHeight="1"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row>
    <row r="784" spans="1:64" ht="15.75" customHeight="1"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row>
    <row r="785" spans="1:64" ht="15.75" customHeight="1"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row>
    <row r="786" spans="1:64" ht="15.75" customHeight="1"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row>
    <row r="787" spans="1:64" ht="15.75" customHeight="1"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row>
    <row r="788" spans="1:64" ht="15.75" customHeight="1"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row>
    <row r="789" spans="1:64" ht="15.75" customHeight="1"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row>
    <row r="790" spans="1:64" ht="15.75" customHeight="1"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row>
    <row r="791" spans="1:64" ht="15.75" customHeight="1"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row>
    <row r="792" spans="1:64" ht="15.75" customHeight="1"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row>
    <row r="793" spans="1:64" ht="15.75" customHeight="1"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row>
    <row r="794" spans="1:64" ht="15.75" customHeight="1"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row>
    <row r="795" spans="1:64" ht="15.75" customHeight="1"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row>
    <row r="796" spans="1:64" ht="15.75" customHeight="1"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row>
    <row r="797" spans="1:64" ht="15.75" customHeight="1"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row>
    <row r="798" spans="1:64" ht="15.75" customHeight="1"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row>
    <row r="799" spans="1:64" ht="15.75" customHeight="1"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row>
    <row r="800" spans="1:64" ht="15.75" customHeight="1"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row>
    <row r="801" spans="1:64" ht="15.75" customHeight="1"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row>
    <row r="802" spans="1:64" ht="15.75" customHeight="1"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row>
    <row r="803" spans="1:64" ht="15.75" customHeight="1"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row>
    <row r="804" spans="1:64" ht="15.75" customHeight="1"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row>
    <row r="805" spans="1:64" ht="15.75" customHeight="1"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row>
    <row r="806" spans="1:64" ht="15.75" customHeight="1"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row>
    <row r="807" spans="1:64" ht="15.75" customHeight="1"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row>
    <row r="808" spans="1:64" ht="15.75" customHeight="1"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row>
    <row r="809" spans="1:64" ht="15.75" customHeight="1"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row>
    <row r="810" spans="1:64" ht="15.75" customHeight="1"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row>
    <row r="811" spans="1:64" ht="15.75" customHeight="1"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row>
    <row r="812" spans="1:64" ht="15.75" customHeight="1"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row>
    <row r="813" spans="1:64" ht="15.75" customHeight="1"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row>
    <row r="814" spans="1:64" ht="15.75" customHeight="1"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row>
    <row r="815" spans="1:64" ht="15.75" customHeight="1"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row>
    <row r="816" spans="1:64" ht="15.75" customHeight="1"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row>
    <row r="817" spans="1:64" ht="15.75" customHeight="1"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row>
    <row r="818" spans="1:64" ht="15.75" customHeight="1"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row>
    <row r="819" spans="1:64" ht="15.75" customHeight="1"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row>
    <row r="820" spans="1:64" ht="15.75" customHeight="1"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row>
    <row r="821" spans="1:64" ht="15.75" customHeight="1"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row>
    <row r="822" spans="1:64" ht="15.75" customHeight="1"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row>
    <row r="823" spans="1:64" ht="15.75" customHeight="1"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row>
    <row r="824" spans="1:64" ht="15.75" customHeight="1"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row>
    <row r="825" spans="1:64" ht="15.75" customHeight="1"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row>
    <row r="826" spans="1:64" ht="15.75" customHeight="1"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row>
    <row r="827" spans="1:64" ht="15.75" customHeight="1"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row>
    <row r="828" spans="1:64" ht="15.75" customHeight="1"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row>
    <row r="829" spans="1:64" ht="15.75" customHeight="1"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row>
    <row r="830" spans="1:64" ht="15.75" customHeight="1"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row>
    <row r="831" spans="1:64" ht="15.75" customHeight="1"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row>
    <row r="832" spans="1:64" ht="15.75" customHeight="1"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row>
    <row r="833" spans="1:64" ht="15.75" customHeight="1"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row>
    <row r="834" spans="1:64" ht="15.75" customHeight="1"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row>
    <row r="835" spans="1:64" ht="15.75" customHeight="1"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row>
    <row r="836" spans="1:64" ht="15.75" customHeight="1"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row>
    <row r="837" spans="1:64" ht="15.75" customHeight="1"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row>
    <row r="838" spans="1:64" ht="15.75" customHeight="1"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row>
    <row r="839" spans="1:64" ht="15.75" customHeight="1"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row>
    <row r="840" spans="1:64" ht="15.75" customHeight="1"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row>
    <row r="841" spans="1:64" ht="15.75" customHeight="1"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row>
    <row r="842" spans="1:64" ht="15.75" customHeight="1"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row>
    <row r="843" spans="1:64" ht="15.75" customHeight="1"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row>
    <row r="844" spans="1:64" ht="15.75" customHeight="1"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row>
    <row r="845" spans="1:64" ht="15.75" customHeight="1"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row>
    <row r="846" spans="1:64" ht="15.75" customHeight="1"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row>
    <row r="847" spans="1:64" ht="15.75" customHeight="1"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row>
    <row r="848" spans="1:64" ht="15.75" customHeight="1"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row>
    <row r="849" spans="1:64" ht="15.75" customHeight="1"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row>
    <row r="850" spans="1:64" ht="15.75" customHeight="1"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row>
    <row r="851" spans="1:64" ht="15.75" customHeight="1"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row>
    <row r="852" spans="1:64" ht="15.75" customHeight="1"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row>
    <row r="853" spans="1:64" ht="15.75" customHeight="1"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row>
    <row r="854" spans="1:64" ht="15.75" customHeight="1"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row>
    <row r="855" spans="1:64" ht="15.75" customHeight="1"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row>
    <row r="856" spans="1:64" ht="15.75" customHeight="1"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row>
    <row r="857" spans="1:64" ht="15.75" customHeight="1"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row>
    <row r="858" spans="1:64" ht="15.75" customHeight="1"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row>
    <row r="859" spans="1:64" ht="15.75" customHeight="1"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row>
    <row r="860" spans="1:64" ht="15.75" customHeight="1"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row>
    <row r="861" spans="1:64" ht="15.75" customHeight="1"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row>
    <row r="862" spans="1:64" ht="15.75" customHeight="1"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row>
    <row r="863" spans="1:64" ht="15.75" customHeight="1"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row>
    <row r="864" spans="1:64" ht="15.75" customHeight="1"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row>
    <row r="865" spans="1:64" ht="15.75" customHeight="1"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row>
    <row r="866" spans="1:64" ht="15.75" customHeight="1"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row>
    <row r="867" spans="1:64" ht="15.75" customHeight="1"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row>
    <row r="868" spans="1:64" ht="15.75" customHeight="1"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row>
    <row r="869" spans="1:64" ht="15.75" customHeight="1"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row>
    <row r="870" spans="1:64" ht="15.75" customHeight="1"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row>
    <row r="871" spans="1:64" ht="15.75" customHeight="1"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row>
    <row r="872" spans="1:64" ht="15.75" customHeight="1"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row>
    <row r="873" spans="1:64" ht="15.75" customHeight="1"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row>
    <row r="874" spans="1:64" ht="15.75" customHeight="1"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row>
    <row r="875" spans="1:64" ht="15.75" customHeight="1"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row>
    <row r="876" spans="1:64" ht="15.75" customHeight="1"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row>
    <row r="877" spans="1:64" ht="15.75" customHeight="1"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row>
    <row r="878" spans="1:64" ht="15.75" customHeight="1"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row>
    <row r="879" spans="1:64" ht="15.75" customHeight="1"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row>
    <row r="880" spans="1:64" ht="15.75" customHeight="1"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row>
    <row r="881" spans="1:64" ht="15.75" customHeight="1"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row>
    <row r="882" spans="1:64" ht="15.75" customHeight="1"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row>
    <row r="883" spans="1:64" ht="15.75" customHeight="1"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row>
    <row r="884" spans="1:64" ht="15.75" customHeight="1"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row>
    <row r="885" spans="1:64" ht="15.75" customHeight="1"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row>
    <row r="886" spans="1:64" ht="15.75" customHeight="1"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row>
    <row r="887" spans="1:64" ht="15.75" customHeight="1"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row>
    <row r="888" spans="1:64" ht="15.75" customHeight="1"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row>
    <row r="889" spans="1:64" ht="15.75" customHeight="1"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row>
    <row r="890" spans="1:64" ht="15.75" customHeight="1"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row>
    <row r="891" spans="1:64" ht="15.75" customHeight="1"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row>
    <row r="892" spans="1:64" ht="15.75" customHeight="1"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row>
    <row r="893" spans="1:64" ht="15.75" customHeight="1"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row>
    <row r="894" spans="1:64" ht="15.75" customHeight="1"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row>
    <row r="895" spans="1:64" ht="15.75" customHeight="1"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row>
    <row r="896" spans="1:64" ht="15.75" customHeight="1"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row>
    <row r="897" spans="1:64" ht="15.75" customHeight="1"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row>
    <row r="898" spans="1:64" ht="15.75" customHeight="1"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row>
    <row r="899" spans="1:64" ht="15.75" customHeight="1"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row>
    <row r="900" spans="1:64" ht="15.75" customHeight="1"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row>
    <row r="901" spans="1:64" ht="15.75" customHeight="1"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row>
    <row r="902" spans="1:64" ht="15.75" customHeight="1"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row>
    <row r="903" spans="1:64" ht="15.75" customHeight="1"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row>
    <row r="904" spans="1:64" ht="15.75" customHeight="1"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row>
    <row r="905" spans="1:64" ht="15.75" customHeight="1"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row>
    <row r="906" spans="1:64" ht="15.75" customHeight="1"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row>
    <row r="907" spans="1:64" ht="15.75" customHeight="1"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row>
    <row r="908" spans="1:64" ht="15.75" customHeight="1"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row>
    <row r="909" spans="1:64" ht="15.75" customHeight="1"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row>
    <row r="910" spans="1:64" ht="15.75" customHeight="1"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row>
    <row r="911" spans="1:64" ht="15.75" customHeight="1"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row>
    <row r="912" spans="1:64" ht="15.75" customHeight="1"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row>
    <row r="913" spans="1:64" ht="15.75" customHeight="1"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row>
    <row r="914" spans="1:64" ht="15.75" customHeight="1"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row>
    <row r="915" spans="1:64" ht="15.75" customHeight="1"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row>
    <row r="916" spans="1:64" ht="15.75" customHeight="1"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row>
    <row r="917" spans="1:64" ht="15.75" customHeight="1"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row>
    <row r="918" spans="1:64" ht="15.75" customHeight="1"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row>
    <row r="919" spans="1:64" ht="15.75" customHeight="1"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row>
    <row r="920" spans="1:64" ht="15.75" customHeight="1"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row>
    <row r="921" spans="1:64" ht="15.75" customHeight="1"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row>
    <row r="922" spans="1:64" ht="15.75" customHeight="1"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row>
    <row r="923" spans="1:64" ht="15.75" customHeight="1"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row>
    <row r="924" spans="1:64" ht="15.75" customHeight="1"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row>
    <row r="925" spans="1:64" ht="15.75" customHeight="1"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row>
    <row r="926" spans="1:64" ht="15.75" customHeight="1"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row>
    <row r="927" spans="1:64" ht="15.75" customHeight="1"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row>
    <row r="928" spans="1:64" ht="15.75" customHeight="1"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row>
    <row r="929" spans="1:64" ht="15.75" customHeight="1"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row>
    <row r="930" spans="1:64" ht="15.75" customHeight="1"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row>
    <row r="931" spans="1:64" ht="15.75" customHeight="1"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row>
    <row r="932" spans="1:64" ht="15.75" customHeight="1"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row>
    <row r="933" spans="1:64" ht="15.75" customHeight="1"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row>
    <row r="934" spans="1:64" ht="15.75" customHeight="1"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row>
    <row r="935" spans="1:64" ht="15.75" customHeight="1"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row>
    <row r="936" spans="1:64" ht="15.75" customHeight="1"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row>
    <row r="937" spans="1:64" ht="15.75" customHeight="1"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row>
    <row r="938" spans="1:64" ht="15.75" customHeight="1"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row>
    <row r="939" spans="1:64" ht="15.75" customHeight="1"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row>
    <row r="940" spans="1:64" ht="15.75" customHeight="1"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row>
    <row r="941" spans="1:64" ht="15.75" customHeight="1"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row>
    <row r="942" spans="1:64" ht="15.75" customHeight="1"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row>
    <row r="943" spans="1:64" ht="15.75" customHeight="1"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row>
    <row r="944" spans="1:64" ht="15.75" customHeight="1"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row>
    <row r="945" spans="1:64" ht="15.75" customHeight="1"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row>
    <row r="946" spans="1:64" ht="15.75" customHeight="1"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row>
    <row r="947" spans="1:64" ht="15.75" customHeight="1"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row>
    <row r="948" spans="1:64" ht="15.75" customHeight="1"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row>
    <row r="949" spans="1:64" ht="15.75" customHeight="1"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row>
    <row r="950" spans="1:64" ht="15.75" customHeight="1"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row>
    <row r="951" spans="1:64" ht="15.75" customHeight="1"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row>
    <row r="952" spans="1:64" ht="15.75" customHeight="1"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row>
    <row r="953" spans="1:64" ht="15.75" customHeight="1"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row>
    <row r="954" spans="1:64" ht="15.75" customHeight="1"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row>
    <row r="955" spans="1:64" ht="15.75" customHeight="1"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row>
    <row r="956" spans="1:64" ht="15.75" customHeight="1"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row>
    <row r="957" spans="1:64" ht="15.75" customHeight="1"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row>
    <row r="958" spans="1:64" ht="15.75" customHeight="1"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row>
    <row r="959" spans="1:64" ht="15.75" customHeight="1"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row>
    <row r="960" spans="1:64" ht="15.75" customHeight="1"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row>
    <row r="961" spans="1:64" ht="15.75" customHeight="1"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row>
    <row r="962" spans="1:64" ht="15.75" customHeight="1"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row>
    <row r="963" spans="1:64" ht="15.75" customHeight="1"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row>
    <row r="964" spans="1:64" ht="15.75" customHeight="1"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row>
    <row r="965" spans="1:64" ht="15.75" customHeight="1"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row>
    <row r="966" spans="1:64" ht="15.75" customHeight="1"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row>
    <row r="967" spans="1:64" ht="15.75" customHeight="1"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row>
    <row r="968" spans="1:64" ht="15.75" customHeight="1"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row>
    <row r="969" spans="1:64" ht="15.75" customHeight="1"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row>
    <row r="970" spans="1:64" ht="15.75" customHeight="1"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row>
    <row r="971" spans="1:64" ht="15.75" customHeight="1"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row>
    <row r="972" spans="1:64" ht="15.75" customHeight="1"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row>
    <row r="973" spans="1:64" ht="15.75" customHeight="1"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row>
    <row r="974" spans="1:64" ht="15.75" customHeight="1"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row>
    <row r="975" spans="1:64" ht="15.75" customHeight="1"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row>
    <row r="976" spans="1:64" ht="15.75" customHeight="1"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row>
    <row r="977" spans="1:64" ht="15.75" customHeight="1"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row>
    <row r="978" spans="1:64" ht="15.75" customHeight="1"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row>
    <row r="979" spans="1:64" ht="15.75" customHeight="1"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row>
    <row r="980" spans="1:64" ht="15.75" customHeight="1"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row>
    <row r="981" spans="1:64" ht="15.75" customHeight="1"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row>
    <row r="982" spans="1:64" ht="15.75" customHeight="1"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row>
    <row r="983" spans="1:64" ht="15.75" customHeight="1"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row>
    <row r="984" spans="1:64" ht="15.75" customHeight="1" x14ac:dyDescent="0.25">
      <c r="A984" s="13"/>
      <c r="B984" s="13"/>
      <c r="C984" s="13"/>
      <c r="D984" s="13"/>
      <c r="E984" s="13"/>
      <c r="F984" s="13"/>
      <c r="G984" s="13"/>
      <c r="H984" s="13"/>
      <c r="I984" s="13"/>
      <c r="J984" s="13"/>
      <c r="K984" s="14"/>
      <c r="L984" s="13"/>
      <c r="M984" s="13"/>
      <c r="N984" s="13"/>
      <c r="O984" s="14"/>
      <c r="P984" s="11"/>
      <c r="Q984" s="11"/>
      <c r="R984" s="10"/>
      <c r="S984" s="11"/>
      <c r="T984" s="11"/>
      <c r="U984" s="11"/>
      <c r="V984" s="11"/>
      <c r="W984" s="11"/>
      <c r="X984" s="10"/>
      <c r="Y984" s="10"/>
      <c r="Z984" s="10"/>
      <c r="AA984" s="11"/>
      <c r="AB984" s="11"/>
      <c r="AC984" s="13"/>
      <c r="AD984" s="13"/>
      <c r="AE984" s="11"/>
      <c r="AF984" s="11"/>
      <c r="AG984" s="11"/>
      <c r="AH984" s="11"/>
      <c r="AI984" s="11"/>
      <c r="AJ984" s="11"/>
      <c r="AK984" s="11"/>
      <c r="AL984" s="12"/>
      <c r="AM984" s="11"/>
      <c r="AN984" s="11"/>
      <c r="AO984" s="11"/>
      <c r="AP984" s="13"/>
      <c r="AQ984" s="13"/>
      <c r="AR984" s="13"/>
      <c r="AS984" s="12"/>
      <c r="AT984" s="12"/>
      <c r="AU984" s="12"/>
      <c r="AV984" s="12"/>
      <c r="AW984" s="12"/>
      <c r="AX984" s="12"/>
      <c r="AY984" s="12"/>
      <c r="AZ984" s="12"/>
      <c r="BA984" s="12"/>
      <c r="BB984" s="12"/>
      <c r="BC984" s="12"/>
      <c r="BD984" s="12"/>
      <c r="BE984" s="12"/>
      <c r="BF984" s="12"/>
      <c r="BG984" s="12"/>
      <c r="BH984" s="12"/>
      <c r="BI984" s="12"/>
      <c r="BJ984" s="12"/>
      <c r="BK984" s="11"/>
      <c r="BL984" s="10"/>
    </row>
    <row r="985" spans="1:64" ht="15.75" customHeight="1" x14ac:dyDescent="0.25">
      <c r="A985" s="13"/>
      <c r="B985" s="13"/>
      <c r="C985" s="13"/>
      <c r="D985" s="13"/>
      <c r="E985" s="13"/>
      <c r="F985" s="13"/>
      <c r="G985" s="13"/>
      <c r="H985" s="13"/>
      <c r="I985" s="13"/>
      <c r="J985" s="13"/>
      <c r="K985" s="14"/>
      <c r="L985" s="13"/>
      <c r="M985" s="13"/>
      <c r="N985" s="13"/>
      <c r="O985" s="14"/>
      <c r="P985" s="11"/>
      <c r="Q985" s="11"/>
      <c r="R985" s="10"/>
      <c r="S985" s="11"/>
      <c r="T985" s="11"/>
      <c r="U985" s="11"/>
      <c r="V985" s="11"/>
      <c r="W985" s="11"/>
      <c r="X985" s="10"/>
      <c r="Y985" s="10"/>
      <c r="Z985" s="10"/>
      <c r="AA985" s="11"/>
      <c r="AB985" s="11"/>
      <c r="AC985" s="13"/>
      <c r="AD985" s="13"/>
      <c r="AE985" s="11"/>
      <c r="AF985" s="11"/>
      <c r="AG985" s="11"/>
      <c r="AH985" s="11"/>
      <c r="AI985" s="11"/>
      <c r="AJ985" s="11"/>
      <c r="AK985" s="11"/>
      <c r="AL985" s="12"/>
      <c r="AM985" s="11"/>
      <c r="AN985" s="11"/>
      <c r="AO985" s="11"/>
      <c r="AP985" s="13"/>
      <c r="AQ985" s="13"/>
      <c r="AR985" s="13"/>
      <c r="AS985" s="12"/>
      <c r="AT985" s="12"/>
      <c r="AU985" s="12"/>
      <c r="AV985" s="12"/>
      <c r="AW985" s="12"/>
      <c r="AX985" s="12"/>
      <c r="AY985" s="12"/>
      <c r="AZ985" s="12"/>
      <c r="BA985" s="12"/>
      <c r="BB985" s="12"/>
      <c r="BC985" s="12"/>
      <c r="BD985" s="12"/>
      <c r="BE985" s="12"/>
      <c r="BF985" s="12"/>
      <c r="BG985" s="12"/>
      <c r="BH985" s="12"/>
      <c r="BI985" s="12"/>
      <c r="BJ985" s="12"/>
      <c r="BK985" s="11"/>
      <c r="BL985" s="10"/>
    </row>
    <row r="986" spans="1:64" ht="15.75" customHeight="1" x14ac:dyDescent="0.25">
      <c r="A986" s="13"/>
      <c r="B986" s="13"/>
      <c r="C986" s="13"/>
      <c r="D986" s="13"/>
      <c r="E986" s="13"/>
      <c r="F986" s="13"/>
      <c r="G986" s="13"/>
      <c r="H986" s="13"/>
      <c r="I986" s="13"/>
      <c r="J986" s="13"/>
      <c r="K986" s="14"/>
      <c r="L986" s="13"/>
      <c r="M986" s="13"/>
      <c r="N986" s="13"/>
      <c r="O986" s="14"/>
      <c r="P986" s="11"/>
      <c r="Q986" s="11"/>
      <c r="R986" s="10"/>
      <c r="S986" s="11"/>
      <c r="T986" s="11"/>
      <c r="U986" s="11"/>
      <c r="V986" s="11"/>
      <c r="W986" s="11"/>
      <c r="X986" s="10"/>
      <c r="Y986" s="10"/>
      <c r="Z986" s="10"/>
      <c r="AA986" s="11"/>
      <c r="AB986" s="11"/>
      <c r="AC986" s="13"/>
      <c r="AD986" s="13"/>
      <c r="AE986" s="11"/>
      <c r="AF986" s="11"/>
      <c r="AG986" s="11"/>
      <c r="AH986" s="11"/>
      <c r="AI986" s="11"/>
      <c r="AJ986" s="11"/>
      <c r="AK986" s="11"/>
      <c r="AL986" s="12"/>
      <c r="AM986" s="11"/>
      <c r="AN986" s="11"/>
      <c r="AO986" s="11"/>
      <c r="AP986" s="13"/>
      <c r="AQ986" s="13"/>
      <c r="AR986" s="13"/>
      <c r="AS986" s="12"/>
      <c r="AT986" s="12"/>
      <c r="AU986" s="12"/>
      <c r="AV986" s="12"/>
      <c r="AW986" s="12"/>
      <c r="AX986" s="12"/>
      <c r="AY986" s="12"/>
      <c r="AZ986" s="12"/>
      <c r="BA986" s="12"/>
      <c r="BB986" s="12"/>
      <c r="BC986" s="12"/>
      <c r="BD986" s="12"/>
      <c r="BE986" s="12"/>
      <c r="BF986" s="12"/>
      <c r="BG986" s="12"/>
      <c r="BH986" s="12"/>
      <c r="BI986" s="12"/>
      <c r="BJ986" s="12"/>
      <c r="BK986" s="11"/>
      <c r="BL986" s="10"/>
    </row>
    <row r="987" spans="1:64" ht="15.75" customHeight="1" x14ac:dyDescent="0.25">
      <c r="A987" s="13"/>
      <c r="B987" s="13"/>
      <c r="C987" s="13"/>
      <c r="D987" s="13"/>
      <c r="E987" s="13"/>
      <c r="F987" s="13"/>
      <c r="G987" s="13"/>
      <c r="H987" s="13"/>
      <c r="I987" s="13"/>
      <c r="J987" s="13"/>
      <c r="K987" s="14"/>
      <c r="L987" s="13"/>
      <c r="M987" s="13"/>
      <c r="N987" s="13"/>
      <c r="O987" s="14"/>
      <c r="P987" s="11"/>
      <c r="Q987" s="11"/>
      <c r="R987" s="10"/>
      <c r="S987" s="11"/>
      <c r="T987" s="11"/>
      <c r="U987" s="11"/>
      <c r="V987" s="11"/>
      <c r="W987" s="11"/>
      <c r="X987" s="10"/>
      <c r="Y987" s="10"/>
      <c r="Z987" s="10"/>
      <c r="AA987" s="11"/>
      <c r="AB987" s="11"/>
      <c r="AC987" s="13"/>
      <c r="AD987" s="13"/>
      <c r="AE987" s="11"/>
      <c r="AF987" s="11"/>
      <c r="AG987" s="11"/>
      <c r="AH987" s="11"/>
      <c r="AI987" s="11"/>
      <c r="AJ987" s="11"/>
      <c r="AK987" s="11"/>
      <c r="AL987" s="12"/>
      <c r="AM987" s="11"/>
      <c r="AN987" s="11"/>
      <c r="AO987" s="11"/>
      <c r="AP987" s="13"/>
      <c r="AQ987" s="13"/>
      <c r="AR987" s="13"/>
      <c r="AS987" s="12"/>
      <c r="AT987" s="12"/>
      <c r="AU987" s="12"/>
      <c r="AV987" s="12"/>
      <c r="AW987" s="12"/>
      <c r="AX987" s="12"/>
      <c r="AY987" s="12"/>
      <c r="AZ987" s="12"/>
      <c r="BA987" s="12"/>
      <c r="BB987" s="12"/>
      <c r="BC987" s="12"/>
      <c r="BD987" s="12"/>
      <c r="BE987" s="12"/>
      <c r="BF987" s="12"/>
      <c r="BG987" s="12"/>
      <c r="BH987" s="12"/>
      <c r="BI987" s="12"/>
      <c r="BJ987" s="12"/>
      <c r="BK987" s="11"/>
      <c r="BL987" s="10"/>
    </row>
    <row r="988" spans="1:64" ht="15.75" customHeight="1" x14ac:dyDescent="0.25">
      <c r="A988" s="13"/>
      <c r="B988" s="13"/>
      <c r="C988" s="13"/>
      <c r="D988" s="13"/>
      <c r="E988" s="13"/>
      <c r="F988" s="13"/>
      <c r="G988" s="13"/>
      <c r="H988" s="13"/>
      <c r="I988" s="13"/>
      <c r="J988" s="13"/>
      <c r="K988" s="14"/>
      <c r="L988" s="13"/>
      <c r="M988" s="13"/>
      <c r="N988" s="13"/>
      <c r="O988" s="14"/>
      <c r="P988" s="11"/>
      <c r="Q988" s="11"/>
      <c r="R988" s="10"/>
      <c r="S988" s="11"/>
      <c r="T988" s="11"/>
      <c r="U988" s="11"/>
      <c r="V988" s="11"/>
      <c r="W988" s="11"/>
      <c r="X988" s="10"/>
      <c r="Y988" s="10"/>
      <c r="Z988" s="10"/>
      <c r="AA988" s="11"/>
      <c r="AB988" s="11"/>
      <c r="AC988" s="13"/>
      <c r="AD988" s="13"/>
      <c r="AE988" s="11"/>
      <c r="AF988" s="11"/>
      <c r="AG988" s="11"/>
      <c r="AH988" s="11"/>
      <c r="AI988" s="11"/>
      <c r="AJ988" s="11"/>
      <c r="AK988" s="11"/>
      <c r="AL988" s="12"/>
      <c r="AM988" s="11"/>
      <c r="AN988" s="11"/>
      <c r="AO988" s="11"/>
      <c r="AP988" s="13"/>
      <c r="AQ988" s="13"/>
      <c r="AR988" s="13"/>
      <c r="AS988" s="12"/>
      <c r="AT988" s="12"/>
      <c r="AU988" s="12"/>
      <c r="AV988" s="12"/>
      <c r="AW988" s="12"/>
      <c r="AX988" s="12"/>
      <c r="AY988" s="12"/>
      <c r="AZ988" s="12"/>
      <c r="BA988" s="12"/>
      <c r="BB988" s="12"/>
      <c r="BC988" s="12"/>
      <c r="BD988" s="12"/>
      <c r="BE988" s="12"/>
      <c r="BF988" s="12"/>
      <c r="BG988" s="12"/>
      <c r="BH988" s="12"/>
      <c r="BI988" s="12"/>
      <c r="BJ988" s="12"/>
      <c r="BK988" s="11"/>
      <c r="BL988" s="10"/>
    </row>
    <row r="989" spans="1:64" ht="15.75" customHeight="1" x14ac:dyDescent="0.25">
      <c r="A989" s="13"/>
      <c r="B989" s="13"/>
      <c r="C989" s="13"/>
      <c r="D989" s="13"/>
      <c r="E989" s="13"/>
      <c r="F989" s="13"/>
      <c r="G989" s="13"/>
      <c r="H989" s="13"/>
      <c r="I989" s="13"/>
      <c r="J989" s="13"/>
      <c r="K989" s="14"/>
      <c r="L989" s="13"/>
      <c r="M989" s="13"/>
      <c r="N989" s="13"/>
      <c r="O989" s="14"/>
      <c r="P989" s="11"/>
      <c r="Q989" s="11"/>
      <c r="R989" s="10"/>
      <c r="S989" s="11"/>
      <c r="T989" s="11"/>
      <c r="U989" s="11"/>
      <c r="V989" s="11"/>
      <c r="W989" s="11"/>
      <c r="X989" s="10"/>
      <c r="Y989" s="10"/>
      <c r="Z989" s="10"/>
      <c r="AA989" s="11"/>
      <c r="AB989" s="11"/>
      <c r="AC989" s="13"/>
      <c r="AD989" s="13"/>
      <c r="AE989" s="11"/>
      <c r="AF989" s="11"/>
      <c r="AG989" s="11"/>
      <c r="AH989" s="11"/>
      <c r="AI989" s="11"/>
      <c r="AJ989" s="11"/>
      <c r="AK989" s="11"/>
      <c r="AL989" s="12"/>
      <c r="AM989" s="11"/>
      <c r="AN989" s="11"/>
      <c r="AO989" s="11"/>
      <c r="AP989" s="13"/>
      <c r="AQ989" s="13"/>
      <c r="AR989" s="13"/>
      <c r="AS989" s="12"/>
      <c r="AT989" s="12"/>
      <c r="AU989" s="12"/>
      <c r="AV989" s="12"/>
      <c r="AW989" s="12"/>
      <c r="AX989" s="12"/>
      <c r="AY989" s="12"/>
      <c r="AZ989" s="12"/>
      <c r="BA989" s="12"/>
      <c r="BB989" s="12"/>
      <c r="BC989" s="12"/>
      <c r="BD989" s="12"/>
      <c r="BE989" s="12"/>
      <c r="BF989" s="12"/>
      <c r="BG989" s="12"/>
      <c r="BH989" s="12"/>
      <c r="BI989" s="12"/>
      <c r="BJ989" s="12"/>
      <c r="BK989" s="11"/>
      <c r="BL989" s="10"/>
    </row>
    <row r="990" spans="1:64" ht="15.75" customHeight="1" x14ac:dyDescent="0.25">
      <c r="A990" s="13"/>
      <c r="B990" s="13"/>
      <c r="C990" s="13"/>
      <c r="D990" s="13"/>
      <c r="E990" s="13"/>
      <c r="F990" s="13"/>
      <c r="G990" s="13"/>
      <c r="H990" s="13"/>
      <c r="I990" s="13"/>
      <c r="J990" s="13"/>
      <c r="K990" s="14"/>
      <c r="L990" s="13"/>
      <c r="M990" s="13"/>
      <c r="N990" s="13"/>
      <c r="O990" s="14"/>
      <c r="P990" s="11"/>
      <c r="Q990" s="11"/>
      <c r="R990" s="10"/>
      <c r="S990" s="11"/>
      <c r="T990" s="11"/>
      <c r="U990" s="11"/>
      <c r="V990" s="11"/>
      <c r="W990" s="11"/>
      <c r="X990" s="10"/>
      <c r="Y990" s="10"/>
      <c r="Z990" s="10"/>
      <c r="AA990" s="11"/>
      <c r="AB990" s="11"/>
      <c r="AC990" s="13"/>
      <c r="AD990" s="13"/>
      <c r="AE990" s="11"/>
      <c r="AF990" s="11"/>
      <c r="AG990" s="11"/>
      <c r="AH990" s="11"/>
      <c r="AI990" s="11"/>
      <c r="AJ990" s="11"/>
      <c r="AK990" s="11"/>
      <c r="AL990" s="12"/>
      <c r="AM990" s="11"/>
      <c r="AN990" s="11"/>
      <c r="AO990" s="11"/>
      <c r="AP990" s="13"/>
      <c r="AQ990" s="13"/>
      <c r="AR990" s="13"/>
      <c r="AS990" s="12"/>
      <c r="AT990" s="12"/>
      <c r="AU990" s="12"/>
      <c r="AV990" s="12"/>
      <c r="AW990" s="12"/>
      <c r="AX990" s="12"/>
      <c r="AY990" s="12"/>
      <c r="AZ990" s="12"/>
      <c r="BA990" s="12"/>
      <c r="BB990" s="12"/>
      <c r="BC990" s="12"/>
      <c r="BD990" s="12"/>
      <c r="BE990" s="12"/>
      <c r="BF990" s="12"/>
      <c r="BG990" s="12"/>
      <c r="BH990" s="12"/>
      <c r="BI990" s="12"/>
      <c r="BJ990" s="12"/>
      <c r="BK990" s="11"/>
      <c r="BL990" s="10"/>
    </row>
    <row r="991" spans="1:64" ht="15.75" customHeight="1" x14ac:dyDescent="0.25">
      <c r="A991" s="13"/>
      <c r="B991" s="13"/>
      <c r="C991" s="13"/>
      <c r="D991" s="13"/>
      <c r="E991" s="13"/>
      <c r="F991" s="13"/>
      <c r="G991" s="13"/>
      <c r="H991" s="13"/>
      <c r="I991" s="13"/>
      <c r="J991" s="13"/>
      <c r="K991" s="14"/>
      <c r="L991" s="13"/>
      <c r="M991" s="13"/>
      <c r="N991" s="13"/>
      <c r="O991" s="14"/>
      <c r="P991" s="11"/>
      <c r="Q991" s="11"/>
      <c r="R991" s="10"/>
      <c r="S991" s="11"/>
      <c r="T991" s="11"/>
      <c r="U991" s="11"/>
      <c r="V991" s="11"/>
      <c r="W991" s="11"/>
      <c r="X991" s="10"/>
      <c r="Y991" s="10"/>
      <c r="Z991" s="10"/>
      <c r="AA991" s="11"/>
      <c r="AB991" s="11"/>
      <c r="AC991" s="13"/>
      <c r="AD991" s="13"/>
      <c r="AE991" s="11"/>
      <c r="AF991" s="11"/>
      <c r="AG991" s="11"/>
      <c r="AH991" s="11"/>
      <c r="AI991" s="11"/>
      <c r="AJ991" s="11"/>
      <c r="AK991" s="11"/>
      <c r="AL991" s="12"/>
      <c r="AM991" s="11"/>
      <c r="AN991" s="11"/>
      <c r="AO991" s="11"/>
      <c r="AP991" s="13"/>
      <c r="AQ991" s="13"/>
      <c r="AR991" s="13"/>
      <c r="AS991" s="12"/>
      <c r="AT991" s="12"/>
      <c r="AU991" s="12"/>
      <c r="AV991" s="12"/>
      <c r="AW991" s="12"/>
      <c r="AX991" s="12"/>
      <c r="AY991" s="12"/>
      <c r="AZ991" s="12"/>
      <c r="BA991" s="12"/>
      <c r="BB991" s="12"/>
      <c r="BC991" s="12"/>
      <c r="BD991" s="12"/>
      <c r="BE991" s="12"/>
      <c r="BF991" s="12"/>
      <c r="BG991" s="12"/>
      <c r="BH991" s="12"/>
      <c r="BI991" s="12"/>
      <c r="BJ991" s="12"/>
      <c r="BK991" s="11"/>
      <c r="BL991" s="10"/>
    </row>
    <row r="992" spans="1:64" ht="15.75" customHeight="1" x14ac:dyDescent="0.25">
      <c r="A992" s="13"/>
      <c r="B992" s="13"/>
      <c r="C992" s="13"/>
      <c r="D992" s="13"/>
      <c r="E992" s="13"/>
      <c r="F992" s="13"/>
      <c r="G992" s="13"/>
      <c r="H992" s="13"/>
      <c r="I992" s="13"/>
      <c r="J992" s="13"/>
      <c r="K992" s="14"/>
      <c r="L992" s="13"/>
      <c r="M992" s="13"/>
      <c r="N992" s="13"/>
      <c r="O992" s="14"/>
      <c r="P992" s="11"/>
      <c r="Q992" s="11"/>
      <c r="R992" s="10"/>
      <c r="S992" s="11"/>
      <c r="T992" s="11"/>
      <c r="U992" s="11"/>
      <c r="V992" s="11"/>
      <c r="W992" s="11"/>
      <c r="X992" s="10"/>
      <c r="Y992" s="10"/>
      <c r="Z992" s="10"/>
      <c r="AA992" s="11"/>
      <c r="AB992" s="11"/>
      <c r="AC992" s="13"/>
      <c r="AD992" s="13"/>
      <c r="AE992" s="11"/>
      <c r="AF992" s="11"/>
      <c r="AG992" s="11"/>
      <c r="AH992" s="11"/>
      <c r="AI992" s="11"/>
      <c r="AJ992" s="11"/>
      <c r="AK992" s="11"/>
      <c r="AL992" s="12"/>
      <c r="AM992" s="11"/>
      <c r="AN992" s="11"/>
      <c r="AO992" s="11"/>
      <c r="AP992" s="13"/>
      <c r="AQ992" s="13"/>
      <c r="AR992" s="13"/>
      <c r="AS992" s="12"/>
      <c r="AT992" s="12"/>
      <c r="AU992" s="12"/>
      <c r="AV992" s="12"/>
      <c r="AW992" s="12"/>
      <c r="AX992" s="12"/>
      <c r="AY992" s="12"/>
      <c r="AZ992" s="12"/>
      <c r="BA992" s="12"/>
      <c r="BB992" s="12"/>
      <c r="BC992" s="12"/>
      <c r="BD992" s="12"/>
      <c r="BE992" s="12"/>
      <c r="BF992" s="12"/>
      <c r="BG992" s="12"/>
      <c r="BH992" s="12"/>
      <c r="BI992" s="12"/>
      <c r="BJ992" s="12"/>
      <c r="BK992" s="11"/>
      <c r="BL992" s="10"/>
    </row>
    <row r="993" spans="1:64" ht="15.75" customHeight="1" x14ac:dyDescent="0.25">
      <c r="A993" s="13"/>
      <c r="B993" s="13"/>
      <c r="C993" s="13"/>
      <c r="D993" s="13"/>
      <c r="E993" s="13"/>
      <c r="F993" s="13"/>
      <c r="G993" s="13"/>
      <c r="H993" s="13"/>
      <c r="I993" s="13"/>
      <c r="J993" s="13"/>
      <c r="K993" s="14"/>
      <c r="L993" s="13"/>
      <c r="M993" s="13"/>
      <c r="N993" s="13"/>
      <c r="O993" s="14"/>
      <c r="P993" s="11"/>
      <c r="Q993" s="11"/>
      <c r="R993" s="10"/>
      <c r="S993" s="11"/>
      <c r="T993" s="11"/>
      <c r="U993" s="11"/>
      <c r="V993" s="11"/>
      <c r="W993" s="11"/>
      <c r="X993" s="10"/>
      <c r="Y993" s="10"/>
      <c r="Z993" s="10"/>
      <c r="AA993" s="11"/>
      <c r="AB993" s="11"/>
      <c r="AC993" s="13"/>
      <c r="AD993" s="13"/>
      <c r="AE993" s="11"/>
      <c r="AF993" s="11"/>
      <c r="AG993" s="11"/>
      <c r="AH993" s="11"/>
      <c r="AI993" s="11"/>
      <c r="AJ993" s="11"/>
      <c r="AK993" s="11"/>
      <c r="AL993" s="12"/>
      <c r="AM993" s="11"/>
      <c r="AN993" s="11"/>
      <c r="AO993" s="11"/>
      <c r="AP993" s="13"/>
      <c r="AQ993" s="13"/>
      <c r="AR993" s="13"/>
      <c r="AS993" s="12"/>
      <c r="AT993" s="12"/>
      <c r="AU993" s="12"/>
      <c r="AV993" s="12"/>
      <c r="AW993" s="12"/>
      <c r="AX993" s="12"/>
      <c r="AY993" s="12"/>
      <c r="AZ993" s="12"/>
      <c r="BA993" s="12"/>
      <c r="BB993" s="12"/>
      <c r="BC993" s="12"/>
      <c r="BD993" s="12"/>
      <c r="BE993" s="12"/>
      <c r="BF993" s="12"/>
      <c r="BG993" s="12"/>
      <c r="BH993" s="12"/>
      <c r="BI993" s="12"/>
      <c r="BJ993" s="12"/>
      <c r="BK993" s="11"/>
      <c r="BL993" s="10"/>
    </row>
    <row r="994" spans="1:64" ht="15.75" customHeight="1" x14ac:dyDescent="0.25">
      <c r="A994" s="13"/>
      <c r="B994" s="13"/>
      <c r="C994" s="13"/>
      <c r="D994" s="13"/>
      <c r="E994" s="13"/>
      <c r="F994" s="13"/>
      <c r="G994" s="13"/>
      <c r="H994" s="13"/>
      <c r="I994" s="13"/>
      <c r="J994" s="13"/>
      <c r="K994" s="14"/>
      <c r="L994" s="13"/>
      <c r="M994" s="13"/>
      <c r="N994" s="13"/>
      <c r="O994" s="14"/>
      <c r="P994" s="11"/>
      <c r="Q994" s="11"/>
      <c r="R994" s="10"/>
      <c r="S994" s="11"/>
      <c r="T994" s="11"/>
      <c r="U994" s="11"/>
      <c r="V994" s="11"/>
      <c r="W994" s="11"/>
      <c r="X994" s="10"/>
      <c r="Y994" s="10"/>
      <c r="Z994" s="10"/>
      <c r="AA994" s="11"/>
      <c r="AB994" s="11"/>
      <c r="AC994" s="13"/>
      <c r="AD994" s="13"/>
      <c r="AE994" s="11"/>
      <c r="AF994" s="11"/>
      <c r="AG994" s="11"/>
      <c r="AH994" s="11"/>
      <c r="AI994" s="11"/>
      <c r="AJ994" s="11"/>
      <c r="AK994" s="11"/>
      <c r="AL994" s="12"/>
      <c r="AM994" s="11"/>
      <c r="AN994" s="11"/>
      <c r="AO994" s="11"/>
      <c r="AP994" s="13"/>
      <c r="AQ994" s="13"/>
      <c r="AR994" s="13"/>
      <c r="AS994" s="12"/>
      <c r="AT994" s="12"/>
      <c r="AU994" s="12"/>
      <c r="AV994" s="12"/>
      <c r="AW994" s="12"/>
      <c r="AX994" s="12"/>
      <c r="AY994" s="12"/>
      <c r="AZ994" s="12"/>
      <c r="BA994" s="12"/>
      <c r="BB994" s="12"/>
      <c r="BC994" s="12"/>
      <c r="BD994" s="12"/>
      <c r="BE994" s="12"/>
      <c r="BF994" s="12"/>
      <c r="BG994" s="12"/>
      <c r="BH994" s="12"/>
      <c r="BI994" s="12"/>
      <c r="BJ994" s="12"/>
      <c r="BK994" s="11"/>
      <c r="BL994" s="10"/>
    </row>
    <row r="995" spans="1:64" ht="15.75" customHeight="1" x14ac:dyDescent="0.25">
      <c r="A995" s="13"/>
      <c r="B995" s="13"/>
      <c r="C995" s="13"/>
      <c r="D995" s="13"/>
      <c r="E995" s="13"/>
      <c r="F995" s="13"/>
      <c r="G995" s="13"/>
      <c r="H995" s="13"/>
      <c r="I995" s="13"/>
      <c r="J995" s="13"/>
      <c r="K995" s="14"/>
      <c r="L995" s="13"/>
      <c r="M995" s="13"/>
      <c r="N995" s="13"/>
      <c r="O995" s="14"/>
      <c r="P995" s="11"/>
      <c r="Q995" s="11"/>
      <c r="R995" s="10"/>
      <c r="S995" s="11"/>
      <c r="T995" s="11"/>
      <c r="U995" s="11"/>
      <c r="V995" s="11"/>
      <c r="W995" s="11"/>
      <c r="X995" s="10"/>
      <c r="Y995" s="10"/>
      <c r="Z995" s="10"/>
      <c r="AA995" s="11"/>
      <c r="AB995" s="11"/>
      <c r="AC995" s="13"/>
      <c r="AD995" s="13"/>
      <c r="AE995" s="11"/>
      <c r="AF995" s="11"/>
      <c r="AG995" s="11"/>
      <c r="AH995" s="11"/>
      <c r="AI995" s="11"/>
      <c r="AJ995" s="11"/>
      <c r="AK995" s="11"/>
      <c r="AL995" s="12"/>
      <c r="AM995" s="11"/>
      <c r="AN995" s="11"/>
      <c r="AO995" s="11"/>
      <c r="AP995" s="13"/>
      <c r="AQ995" s="13"/>
      <c r="AR995" s="13"/>
      <c r="AS995" s="12"/>
      <c r="AT995" s="12"/>
      <c r="AU995" s="12"/>
      <c r="AV995" s="12"/>
      <c r="AW995" s="12"/>
      <c r="AX995" s="12"/>
      <c r="AY995" s="12"/>
      <c r="AZ995" s="12"/>
      <c r="BA995" s="12"/>
      <c r="BB995" s="12"/>
      <c r="BC995" s="12"/>
      <c r="BD995" s="12"/>
      <c r="BE995" s="12"/>
      <c r="BF995" s="12"/>
      <c r="BG995" s="12"/>
      <c r="BH995" s="12"/>
      <c r="BI995" s="12"/>
      <c r="BJ995" s="12"/>
      <c r="BK995" s="11"/>
      <c r="BL995" s="10"/>
    </row>
    <row r="996" spans="1:64" ht="15.75" customHeight="1" x14ac:dyDescent="0.25">
      <c r="A996" s="13"/>
      <c r="B996" s="13"/>
      <c r="C996" s="13"/>
      <c r="D996" s="13"/>
      <c r="E996" s="13"/>
      <c r="F996" s="13"/>
      <c r="G996" s="13"/>
      <c r="H996" s="13"/>
      <c r="I996" s="13"/>
      <c r="J996" s="13"/>
      <c r="K996" s="14"/>
      <c r="L996" s="13"/>
      <c r="M996" s="13"/>
      <c r="N996" s="13"/>
      <c r="O996" s="14"/>
      <c r="P996" s="11"/>
      <c r="Q996" s="11"/>
      <c r="R996" s="10"/>
      <c r="S996" s="11"/>
      <c r="T996" s="11"/>
      <c r="U996" s="11"/>
      <c r="V996" s="11"/>
      <c r="W996" s="11"/>
      <c r="X996" s="10"/>
      <c r="Y996" s="10"/>
      <c r="Z996" s="10"/>
      <c r="AA996" s="11"/>
      <c r="AB996" s="11"/>
      <c r="AC996" s="13"/>
      <c r="AD996" s="13"/>
      <c r="AE996" s="11"/>
      <c r="AF996" s="11"/>
      <c r="AG996" s="11"/>
      <c r="AH996" s="11"/>
      <c r="AI996" s="11"/>
      <c r="AJ996" s="11"/>
      <c r="AK996" s="11"/>
      <c r="AL996" s="12"/>
      <c r="AM996" s="11"/>
      <c r="AN996" s="11"/>
      <c r="AO996" s="11"/>
      <c r="AP996" s="13"/>
      <c r="AQ996" s="13"/>
      <c r="AR996" s="13"/>
      <c r="AS996" s="12"/>
      <c r="AT996" s="12"/>
      <c r="AU996" s="12"/>
      <c r="AV996" s="12"/>
      <c r="AW996" s="12"/>
      <c r="AX996" s="12"/>
      <c r="AY996" s="12"/>
      <c r="AZ996" s="12"/>
      <c r="BA996" s="12"/>
      <c r="BB996" s="12"/>
      <c r="BC996" s="12"/>
      <c r="BD996" s="12"/>
      <c r="BE996" s="12"/>
      <c r="BF996" s="12"/>
      <c r="BG996" s="12"/>
      <c r="BH996" s="12"/>
      <c r="BI996" s="12"/>
      <c r="BJ996" s="12"/>
      <c r="BK996" s="11"/>
      <c r="BL996" s="10"/>
    </row>
    <row r="997" spans="1:64" ht="15.75" customHeight="1" x14ac:dyDescent="0.25">
      <c r="A997" s="13"/>
      <c r="B997" s="13"/>
      <c r="C997" s="13"/>
      <c r="D997" s="13"/>
      <c r="E997" s="13"/>
      <c r="F997" s="13"/>
      <c r="G997" s="13"/>
      <c r="H997" s="13"/>
      <c r="I997" s="13"/>
      <c r="J997" s="13"/>
      <c r="K997" s="14"/>
      <c r="L997" s="13"/>
      <c r="M997" s="13"/>
      <c r="N997" s="13"/>
      <c r="O997" s="14"/>
      <c r="P997" s="11"/>
      <c r="Q997" s="11"/>
      <c r="R997" s="10"/>
      <c r="S997" s="11"/>
      <c r="T997" s="11"/>
      <c r="U997" s="11"/>
      <c r="V997" s="11"/>
      <c r="W997" s="11"/>
      <c r="X997" s="10"/>
      <c r="Y997" s="10"/>
      <c r="Z997" s="10"/>
      <c r="AA997" s="11"/>
      <c r="AB997" s="11"/>
      <c r="AC997" s="13"/>
      <c r="AD997" s="13"/>
      <c r="AE997" s="11"/>
      <c r="AF997" s="11"/>
      <c r="AG997" s="11"/>
      <c r="AH997" s="11"/>
      <c r="AI997" s="11"/>
      <c r="AJ997" s="11"/>
      <c r="AK997" s="11"/>
      <c r="AL997" s="12"/>
      <c r="AM997" s="11"/>
      <c r="AN997" s="11"/>
      <c r="AO997" s="11"/>
      <c r="AP997" s="13"/>
      <c r="AQ997" s="13"/>
      <c r="AR997" s="13"/>
      <c r="AS997" s="12"/>
      <c r="AT997" s="12"/>
      <c r="AU997" s="12"/>
      <c r="AV997" s="12"/>
      <c r="AW997" s="12"/>
      <c r="AX997" s="12"/>
      <c r="AY997" s="12"/>
      <c r="AZ997" s="12"/>
      <c r="BA997" s="12"/>
      <c r="BB997" s="12"/>
      <c r="BC997" s="12"/>
      <c r="BD997" s="12"/>
      <c r="BE997" s="12"/>
      <c r="BF997" s="12"/>
      <c r="BG997" s="12"/>
      <c r="BH997" s="12"/>
      <c r="BI997" s="12"/>
      <c r="BJ997" s="12"/>
      <c r="BK997" s="11"/>
      <c r="BL997" s="10"/>
    </row>
    <row r="998" spans="1:64" ht="15.75" customHeight="1" x14ac:dyDescent="0.25">
      <c r="A998" s="13"/>
      <c r="B998" s="13"/>
      <c r="C998" s="13"/>
      <c r="D998" s="13"/>
      <c r="E998" s="13"/>
      <c r="F998" s="13"/>
      <c r="G998" s="13"/>
      <c r="H998" s="13"/>
      <c r="I998" s="13"/>
      <c r="J998" s="13"/>
      <c r="K998" s="14"/>
      <c r="L998" s="13"/>
      <c r="M998" s="13"/>
      <c r="N998" s="13"/>
      <c r="O998" s="14"/>
      <c r="P998" s="11"/>
      <c r="Q998" s="11"/>
      <c r="R998" s="10"/>
      <c r="S998" s="11"/>
      <c r="T998" s="11"/>
      <c r="U998" s="11"/>
      <c r="V998" s="11"/>
      <c r="W998" s="11"/>
      <c r="X998" s="10"/>
      <c r="Y998" s="10"/>
      <c r="Z998" s="10"/>
      <c r="AA998" s="11"/>
      <c r="AB998" s="11"/>
      <c r="AC998" s="13"/>
      <c r="AD998" s="13"/>
      <c r="AE998" s="11"/>
      <c r="AF998" s="11"/>
      <c r="AG998" s="11"/>
      <c r="AH998" s="11"/>
      <c r="AI998" s="11"/>
      <c r="AJ998" s="11"/>
      <c r="AK998" s="11"/>
      <c r="AL998" s="12"/>
      <c r="AM998" s="11"/>
      <c r="AN998" s="11"/>
      <c r="AO998" s="11"/>
      <c r="AP998" s="13"/>
      <c r="AQ998" s="13"/>
      <c r="AR998" s="13"/>
      <c r="AS998" s="12"/>
      <c r="AT998" s="12"/>
      <c r="AU998" s="12"/>
      <c r="AV998" s="12"/>
      <c r="AW998" s="12"/>
      <c r="AX998" s="12"/>
      <c r="AY998" s="12"/>
      <c r="AZ998" s="12"/>
      <c r="BA998" s="12"/>
      <c r="BB998" s="12"/>
      <c r="BC998" s="12"/>
      <c r="BD998" s="12"/>
      <c r="BE998" s="12"/>
      <c r="BF998" s="12"/>
      <c r="BG998" s="12"/>
      <c r="BH998" s="12"/>
      <c r="BI998" s="12"/>
      <c r="BJ998" s="12"/>
      <c r="BK998" s="11"/>
      <c r="BL998" s="10"/>
    </row>
    <row r="999" spans="1:64" ht="15.75" customHeight="1" x14ac:dyDescent="0.25">
      <c r="A999" s="13"/>
      <c r="B999" s="13"/>
      <c r="C999" s="13"/>
      <c r="D999" s="13"/>
      <c r="E999" s="13"/>
      <c r="F999" s="13"/>
      <c r="G999" s="13"/>
      <c r="H999" s="13"/>
      <c r="I999" s="13"/>
      <c r="J999" s="13"/>
      <c r="K999" s="14"/>
      <c r="L999" s="13"/>
      <c r="M999" s="13"/>
      <c r="N999" s="13"/>
      <c r="O999" s="14"/>
      <c r="P999" s="11"/>
      <c r="Q999" s="11"/>
      <c r="R999" s="10"/>
      <c r="S999" s="11"/>
      <c r="T999" s="11"/>
      <c r="U999" s="11"/>
      <c r="V999" s="11"/>
      <c r="W999" s="11"/>
      <c r="X999" s="10"/>
      <c r="Y999" s="10"/>
      <c r="Z999" s="10"/>
      <c r="AA999" s="11"/>
      <c r="AB999" s="11"/>
      <c r="AC999" s="13"/>
      <c r="AD999" s="13"/>
      <c r="AE999" s="11"/>
      <c r="AF999" s="11"/>
      <c r="AG999" s="11"/>
      <c r="AH999" s="11"/>
      <c r="AI999" s="11"/>
      <c r="AJ999" s="11"/>
      <c r="AK999" s="11"/>
      <c r="AL999" s="12"/>
      <c r="AM999" s="11"/>
      <c r="AN999" s="11"/>
      <c r="AO999" s="11"/>
      <c r="AP999" s="13"/>
      <c r="AQ999" s="13"/>
      <c r="AR999" s="13"/>
      <c r="AS999" s="12"/>
      <c r="AT999" s="12"/>
      <c r="AU999" s="12"/>
      <c r="AV999" s="12"/>
      <c r="AW999" s="12"/>
      <c r="AX999" s="12"/>
      <c r="AY999" s="12"/>
      <c r="AZ999" s="12"/>
      <c r="BA999" s="12"/>
      <c r="BB999" s="12"/>
      <c r="BC999" s="12"/>
      <c r="BD999" s="12"/>
      <c r="BE999" s="12"/>
      <c r="BF999" s="12"/>
      <c r="BG999" s="12"/>
      <c r="BH999" s="12"/>
      <c r="BI999" s="12"/>
      <c r="BJ999" s="12"/>
      <c r="BK999" s="11"/>
      <c r="BL999" s="10"/>
    </row>
    <row r="1000" spans="1:64" ht="15.75" customHeight="1" x14ac:dyDescent="0.25">
      <c r="A1000" s="13"/>
      <c r="B1000" s="13"/>
      <c r="C1000" s="13"/>
      <c r="D1000" s="13"/>
      <c r="E1000" s="13"/>
      <c r="F1000" s="13"/>
      <c r="G1000" s="13"/>
      <c r="H1000" s="13"/>
      <c r="I1000" s="13"/>
      <c r="J1000" s="13"/>
      <c r="K1000" s="14"/>
      <c r="L1000" s="13"/>
      <c r="M1000" s="13"/>
      <c r="N1000" s="13"/>
      <c r="O1000" s="14"/>
      <c r="P1000" s="11"/>
      <c r="Q1000" s="11"/>
      <c r="R1000" s="10"/>
      <c r="S1000" s="11"/>
      <c r="T1000" s="11"/>
      <c r="U1000" s="11"/>
      <c r="V1000" s="11"/>
      <c r="W1000" s="11"/>
      <c r="X1000" s="10"/>
      <c r="Y1000" s="10"/>
      <c r="Z1000" s="10"/>
      <c r="AA1000" s="11"/>
      <c r="AB1000" s="11"/>
      <c r="AC1000" s="13"/>
      <c r="AD1000" s="13"/>
      <c r="AE1000" s="11"/>
      <c r="AF1000" s="11"/>
      <c r="AG1000" s="11"/>
      <c r="AH1000" s="11"/>
      <c r="AI1000" s="11"/>
      <c r="AJ1000" s="11"/>
      <c r="AK1000" s="11"/>
      <c r="AL1000" s="12"/>
      <c r="AM1000" s="11"/>
      <c r="AN1000" s="11"/>
      <c r="AO1000" s="11"/>
      <c r="AP1000" s="13"/>
      <c r="AQ1000" s="13"/>
      <c r="AR1000" s="13"/>
      <c r="AS1000" s="12"/>
      <c r="AT1000" s="12"/>
      <c r="AU1000" s="12"/>
      <c r="AV1000" s="12"/>
      <c r="AW1000" s="12"/>
      <c r="AX1000" s="12"/>
      <c r="AY1000" s="12"/>
      <c r="AZ1000" s="12"/>
      <c r="BA1000" s="12"/>
      <c r="BB1000" s="12"/>
      <c r="BC1000" s="12"/>
      <c r="BD1000" s="12"/>
      <c r="BE1000" s="12"/>
      <c r="BF1000" s="12"/>
      <c r="BG1000" s="12"/>
      <c r="BH1000" s="12"/>
      <c r="BI1000" s="12"/>
      <c r="BJ1000" s="12"/>
      <c r="BK1000" s="11"/>
      <c r="BL1000" s="10"/>
    </row>
  </sheetData>
  <dataValidations count="3">
    <dataValidation type="list" allowBlank="1" showErrorMessage="1" sqref="N1:N1000" xr:uid="{00000000-0002-0000-0B00-000000000000}">
      <formula1>"Daily,Weekly,Monthly,Every2Weeks,Every2Months,Quarterly,Every6Months,Annually"</formula1>
    </dataValidation>
    <dataValidation type="list" allowBlank="1" showErrorMessage="1" sqref="BK1:BK1000" xr:uid="{00000000-0002-0000-0B00-000001000000}">
      <formula1>"true,false"</formula1>
    </dataValidation>
    <dataValidation type="list" allowBlank="1" showErrorMessage="1" sqref="C2:C983" xr:uid="{00000000-0002-0000-0B00-000002000000}">
      <formula1>"COMMERCIAL_OTHER,COMMERCIAL_INDUSTRIAL,COMMERCIAL_OFFICE,COMMERCIAL_RETAIL,COMMERCIAL_SHOPPING_CENTER,COMMERCIAL_STORAGE,COMMERCIAL_PARKING,COMMERCIAL_CO_WORKING"</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H15"/>
  <sheetViews>
    <sheetView workbookViewId="0"/>
  </sheetViews>
  <sheetFormatPr defaultRowHeight="15" x14ac:dyDescent="0.25"/>
  <cols>
    <col min="1" max="1" width="9.140625" customWidth="1"/>
    <col min="13" max="13" width="26.5703125" customWidth="1"/>
    <col min="14" max="14" width="20" customWidth="1"/>
    <col min="15" max="15" width="16.42578125" customWidth="1"/>
    <col min="16" max="16" width="23" customWidth="1"/>
    <col min="17" max="17" width="18.5703125" customWidth="1"/>
    <col min="18" max="18" width="18.28515625" customWidth="1"/>
    <col min="20" max="20" width="16" customWidth="1"/>
    <col min="21" max="21" width="17.140625" customWidth="1"/>
    <col min="29" max="29" width="32.42578125" customWidth="1"/>
    <col min="30" max="30" width="123" customWidth="1"/>
    <col min="31" max="31" width="25.42578125" customWidth="1"/>
    <col min="39" max="39" width="58" customWidth="1"/>
    <col min="40" max="40" width="38.85546875" customWidth="1"/>
    <col min="41" max="41" width="37.28515625" customWidth="1"/>
    <col min="42" max="42" width="33.42578125" customWidth="1"/>
    <col min="43" max="43" width="32.7109375" customWidth="1"/>
    <col min="44" max="44" width="22" customWidth="1"/>
    <col min="45" max="45" width="33.85546875" customWidth="1"/>
  </cols>
  <sheetData>
    <row r="1" spans="1:60" x14ac:dyDescent="0.25">
      <c r="A1" t="s">
        <v>632</v>
      </c>
      <c r="B1" t="s">
        <v>761</v>
      </c>
      <c r="C1" t="s">
        <v>634</v>
      </c>
      <c r="D1" t="s">
        <v>635</v>
      </c>
      <c r="E1" t="s">
        <v>636</v>
      </c>
      <c r="F1" t="s">
        <v>637</v>
      </c>
      <c r="G1" t="s">
        <v>638</v>
      </c>
      <c r="H1" t="s">
        <v>631</v>
      </c>
      <c r="I1" t="s">
        <v>762</v>
      </c>
      <c r="J1" t="s">
        <v>763</v>
      </c>
      <c r="K1" t="s">
        <v>764</v>
      </c>
      <c r="L1" t="s">
        <v>765</v>
      </c>
      <c r="M1" t="s">
        <v>641</v>
      </c>
      <c r="N1" t="s">
        <v>642</v>
      </c>
      <c r="O1" t="s">
        <v>643</v>
      </c>
      <c r="P1" t="s">
        <v>766</v>
      </c>
      <c r="Q1" t="s">
        <v>692</v>
      </c>
      <c r="R1" t="s">
        <v>655</v>
      </c>
      <c r="S1" t="s">
        <v>767</v>
      </c>
      <c r="T1" t="s">
        <v>768</v>
      </c>
      <c r="U1" t="s">
        <v>769</v>
      </c>
      <c r="V1" t="s">
        <v>770</v>
      </c>
      <c r="W1" t="s">
        <v>771</v>
      </c>
      <c r="X1" t="s">
        <v>772</v>
      </c>
      <c r="Y1" t="s">
        <v>773</v>
      </c>
      <c r="Z1" t="s">
        <v>657</v>
      </c>
      <c r="AA1" t="s">
        <v>774</v>
      </c>
      <c r="AB1" t="s">
        <v>775</v>
      </c>
      <c r="AC1" t="s">
        <v>776</v>
      </c>
      <c r="AD1" t="s">
        <v>777</v>
      </c>
      <c r="AE1" t="s">
        <v>778</v>
      </c>
      <c r="AF1" t="s">
        <v>779</v>
      </c>
      <c r="AG1" t="s">
        <v>780</v>
      </c>
      <c r="AH1" t="s">
        <v>781</v>
      </c>
      <c r="AI1" t="s">
        <v>782</v>
      </c>
      <c r="AJ1" t="s">
        <v>783</v>
      </c>
      <c r="AK1" t="s">
        <v>784</v>
      </c>
      <c r="AL1" t="s">
        <v>785</v>
      </c>
      <c r="AM1" t="s">
        <v>786</v>
      </c>
      <c r="AN1" t="s">
        <v>787</v>
      </c>
      <c r="AO1" t="s">
        <v>788</v>
      </c>
      <c r="AP1" t="s">
        <v>789</v>
      </c>
      <c r="AQ1" t="s">
        <v>790</v>
      </c>
      <c r="AR1" t="s">
        <v>791</v>
      </c>
      <c r="AS1" t="s">
        <v>792</v>
      </c>
      <c r="AT1" t="s">
        <v>793</v>
      </c>
      <c r="AU1" t="s">
        <v>794</v>
      </c>
      <c r="AV1" t="s">
        <v>795</v>
      </c>
      <c r="AW1" t="s">
        <v>796</v>
      </c>
      <c r="AX1" t="s">
        <v>797</v>
      </c>
      <c r="AY1" t="s">
        <v>798</v>
      </c>
      <c r="AZ1" t="s">
        <v>799</v>
      </c>
      <c r="BA1" t="s">
        <v>800</v>
      </c>
      <c r="BB1" t="s">
        <v>801</v>
      </c>
      <c r="BC1" t="s">
        <v>799</v>
      </c>
      <c r="BD1" t="s">
        <v>800</v>
      </c>
      <c r="BE1" t="s">
        <v>802</v>
      </c>
      <c r="BF1" t="s">
        <v>803</v>
      </c>
      <c r="BG1" t="s">
        <v>804</v>
      </c>
      <c r="BH1" t="s">
        <v>805</v>
      </c>
    </row>
    <row r="2" spans="1:60" x14ac:dyDescent="0.25">
      <c r="A2" t="s">
        <v>806</v>
      </c>
      <c r="B2" t="s">
        <v>693</v>
      </c>
      <c r="C2" t="s">
        <v>807</v>
      </c>
      <c r="D2" t="s">
        <v>694</v>
      </c>
      <c r="E2" t="s">
        <v>695</v>
      </c>
      <c r="F2">
        <v>70506</v>
      </c>
      <c r="G2" t="s">
        <v>696</v>
      </c>
      <c r="H2">
        <v>149</v>
      </c>
      <c r="K2">
        <v>4613</v>
      </c>
      <c r="M2" s="73">
        <v>36707</v>
      </c>
      <c r="N2" s="73">
        <v>47787</v>
      </c>
      <c r="O2" t="s">
        <v>697</v>
      </c>
      <c r="P2">
        <v>8553.27</v>
      </c>
      <c r="Q2" t="b">
        <v>1</v>
      </c>
      <c r="R2">
        <v>0</v>
      </c>
      <c r="S2" t="s">
        <v>808</v>
      </c>
      <c r="T2">
        <v>807.28</v>
      </c>
      <c r="U2" t="s">
        <v>809</v>
      </c>
      <c r="V2">
        <v>365.2</v>
      </c>
      <c r="W2" t="s">
        <v>810</v>
      </c>
      <c r="X2">
        <v>749.61</v>
      </c>
      <c r="AC2" t="s">
        <v>811</v>
      </c>
      <c r="AD2" t="s">
        <v>812</v>
      </c>
      <c r="AE2" t="s">
        <v>813</v>
      </c>
      <c r="AN2" t="s">
        <v>814</v>
      </c>
      <c r="AO2" t="s">
        <v>815</v>
      </c>
      <c r="AP2">
        <v>100</v>
      </c>
      <c r="AQ2" t="s">
        <v>816</v>
      </c>
      <c r="AR2">
        <v>3372325684</v>
      </c>
      <c r="AS2" t="s">
        <v>817</v>
      </c>
      <c r="AT2" t="s">
        <v>694</v>
      </c>
      <c r="AU2">
        <v>70506</v>
      </c>
      <c r="AV2" t="s">
        <v>695</v>
      </c>
      <c r="AW2" t="s">
        <v>696</v>
      </c>
      <c r="AX2" t="s">
        <v>818</v>
      </c>
    </row>
    <row r="3" spans="1:60" x14ac:dyDescent="0.25">
      <c r="A3" t="s">
        <v>806</v>
      </c>
      <c r="B3" t="s">
        <v>693</v>
      </c>
      <c r="C3" t="s">
        <v>807</v>
      </c>
      <c r="D3" t="s">
        <v>694</v>
      </c>
      <c r="E3" t="s">
        <v>695</v>
      </c>
      <c r="F3">
        <v>70506</v>
      </c>
      <c r="G3" t="s">
        <v>696</v>
      </c>
      <c r="H3" t="s">
        <v>166</v>
      </c>
      <c r="K3">
        <v>1580</v>
      </c>
      <c r="M3" s="73">
        <v>45658</v>
      </c>
      <c r="N3" s="73">
        <v>47999</v>
      </c>
      <c r="O3" t="s">
        <v>697</v>
      </c>
      <c r="P3">
        <v>2040.83</v>
      </c>
      <c r="Q3" t="b">
        <v>1</v>
      </c>
      <c r="R3">
        <v>1580</v>
      </c>
      <c r="S3" t="s">
        <v>808</v>
      </c>
      <c r="T3">
        <v>276.5</v>
      </c>
      <c r="U3" t="s">
        <v>809</v>
      </c>
      <c r="V3">
        <v>125.08</v>
      </c>
      <c r="W3" t="s">
        <v>810</v>
      </c>
      <c r="X3">
        <v>256.75</v>
      </c>
      <c r="AC3" t="s">
        <v>393</v>
      </c>
      <c r="AD3" t="s">
        <v>819</v>
      </c>
      <c r="AM3" t="s">
        <v>820</v>
      </c>
      <c r="AN3">
        <v>100</v>
      </c>
      <c r="AO3" t="s">
        <v>409</v>
      </c>
      <c r="AP3" t="s">
        <v>821</v>
      </c>
      <c r="AQ3" t="s">
        <v>822</v>
      </c>
      <c r="AR3" t="s">
        <v>694</v>
      </c>
      <c r="AS3">
        <v>70596</v>
      </c>
      <c r="AT3" t="s">
        <v>695</v>
      </c>
      <c r="AU3" t="s">
        <v>696</v>
      </c>
      <c r="AV3" t="s">
        <v>823</v>
      </c>
    </row>
    <row r="4" spans="1:60" x14ac:dyDescent="0.25">
      <c r="A4" t="s">
        <v>806</v>
      </c>
      <c r="B4" t="s">
        <v>693</v>
      </c>
      <c r="C4" t="s">
        <v>807</v>
      </c>
      <c r="D4" t="s">
        <v>694</v>
      </c>
      <c r="E4" t="s">
        <v>695</v>
      </c>
      <c r="F4">
        <v>70506</v>
      </c>
      <c r="G4" t="s">
        <v>696</v>
      </c>
      <c r="H4" t="s">
        <v>135</v>
      </c>
      <c r="K4">
        <v>3000</v>
      </c>
      <c r="M4" s="73">
        <v>42979</v>
      </c>
      <c r="N4" s="73">
        <v>44804</v>
      </c>
      <c r="O4" t="s">
        <v>697</v>
      </c>
      <c r="P4">
        <v>3750</v>
      </c>
      <c r="Q4" t="b">
        <v>1</v>
      </c>
      <c r="R4">
        <v>2500</v>
      </c>
      <c r="S4" t="s">
        <v>808</v>
      </c>
      <c r="T4">
        <v>525</v>
      </c>
      <c r="U4" t="s">
        <v>809</v>
      </c>
      <c r="V4">
        <v>237.5</v>
      </c>
      <c r="W4" t="s">
        <v>810</v>
      </c>
      <c r="X4">
        <v>487.5</v>
      </c>
      <c r="AC4" t="s">
        <v>502</v>
      </c>
      <c r="AD4" t="s">
        <v>824</v>
      </c>
      <c r="AM4" t="s">
        <v>820</v>
      </c>
      <c r="AN4">
        <v>100</v>
      </c>
      <c r="AO4" t="s">
        <v>409</v>
      </c>
      <c r="AP4" t="s">
        <v>825</v>
      </c>
      <c r="AQ4" t="s">
        <v>817</v>
      </c>
      <c r="AR4" t="s">
        <v>694</v>
      </c>
      <c r="AS4">
        <v>70506</v>
      </c>
      <c r="AT4" t="s">
        <v>695</v>
      </c>
      <c r="AU4" t="s">
        <v>696</v>
      </c>
      <c r="AV4" t="s">
        <v>826</v>
      </c>
    </row>
    <row r="5" spans="1:60" x14ac:dyDescent="0.25">
      <c r="A5" t="s">
        <v>806</v>
      </c>
      <c r="B5" t="s">
        <v>693</v>
      </c>
      <c r="C5" t="s">
        <v>807</v>
      </c>
      <c r="D5" t="s">
        <v>694</v>
      </c>
      <c r="E5" t="s">
        <v>695</v>
      </c>
      <c r="F5">
        <v>70506</v>
      </c>
      <c r="G5" t="s">
        <v>696</v>
      </c>
      <c r="H5">
        <v>105</v>
      </c>
      <c r="K5">
        <v>1500</v>
      </c>
      <c r="M5" s="73">
        <v>44136</v>
      </c>
      <c r="N5" s="73">
        <v>45961</v>
      </c>
      <c r="O5" t="s">
        <v>697</v>
      </c>
      <c r="P5">
        <v>1875</v>
      </c>
      <c r="Q5" t="b">
        <v>1</v>
      </c>
      <c r="R5">
        <v>1250</v>
      </c>
      <c r="S5" t="s">
        <v>808</v>
      </c>
      <c r="T5">
        <v>262.5</v>
      </c>
      <c r="U5" t="s">
        <v>809</v>
      </c>
      <c r="V5">
        <v>118.75</v>
      </c>
      <c r="W5" t="s">
        <v>810</v>
      </c>
      <c r="X5">
        <v>243.75</v>
      </c>
      <c r="AC5" t="s">
        <v>827</v>
      </c>
      <c r="AD5" t="s">
        <v>828</v>
      </c>
      <c r="AM5" t="s">
        <v>820</v>
      </c>
      <c r="AN5">
        <v>100</v>
      </c>
      <c r="AO5" t="s">
        <v>409</v>
      </c>
      <c r="AP5" t="s">
        <v>825</v>
      </c>
      <c r="AQ5" t="s">
        <v>817</v>
      </c>
      <c r="AR5" t="s">
        <v>694</v>
      </c>
      <c r="AS5">
        <v>70506</v>
      </c>
      <c r="AT5" t="s">
        <v>695</v>
      </c>
      <c r="AU5" t="s">
        <v>696</v>
      </c>
      <c r="AV5" t="s">
        <v>829</v>
      </c>
    </row>
    <row r="6" spans="1:60" x14ac:dyDescent="0.25">
      <c r="A6" t="s">
        <v>806</v>
      </c>
      <c r="B6" t="s">
        <v>693</v>
      </c>
      <c r="C6" t="s">
        <v>807</v>
      </c>
      <c r="D6" t="s">
        <v>694</v>
      </c>
      <c r="E6" t="s">
        <v>695</v>
      </c>
      <c r="F6">
        <v>70506</v>
      </c>
      <c r="G6" t="s">
        <v>696</v>
      </c>
      <c r="H6">
        <v>145</v>
      </c>
      <c r="K6">
        <v>1500</v>
      </c>
      <c r="M6" s="73">
        <v>42979</v>
      </c>
      <c r="N6" s="73">
        <v>44804</v>
      </c>
      <c r="O6" t="s">
        <v>697</v>
      </c>
      <c r="P6">
        <v>1875</v>
      </c>
      <c r="Q6" t="b">
        <v>1</v>
      </c>
      <c r="R6">
        <v>1250</v>
      </c>
      <c r="S6" t="s">
        <v>808</v>
      </c>
      <c r="T6">
        <v>262.5</v>
      </c>
      <c r="U6" t="s">
        <v>809</v>
      </c>
      <c r="V6">
        <v>118.75</v>
      </c>
      <c r="W6" t="s">
        <v>810</v>
      </c>
      <c r="X6">
        <v>243.75</v>
      </c>
      <c r="AC6" t="s">
        <v>830</v>
      </c>
      <c r="AD6" t="s">
        <v>831</v>
      </c>
      <c r="AM6" t="s">
        <v>814</v>
      </c>
      <c r="AN6" t="s">
        <v>815</v>
      </c>
      <c r="AO6">
        <v>100</v>
      </c>
      <c r="AP6" t="s">
        <v>409</v>
      </c>
      <c r="AQ6" t="s">
        <v>825</v>
      </c>
      <c r="AR6" t="s">
        <v>817</v>
      </c>
      <c r="AS6" t="s">
        <v>694</v>
      </c>
      <c r="AT6">
        <v>70506</v>
      </c>
      <c r="AU6" t="s">
        <v>695</v>
      </c>
      <c r="AV6" t="s">
        <v>696</v>
      </c>
      <c r="AW6" t="s">
        <v>823</v>
      </c>
    </row>
    <row r="7" spans="1:60" x14ac:dyDescent="0.25">
      <c r="A7" t="s">
        <v>806</v>
      </c>
      <c r="B7" t="s">
        <v>693</v>
      </c>
      <c r="C7" t="s">
        <v>807</v>
      </c>
      <c r="D7" t="s">
        <v>694</v>
      </c>
      <c r="E7" t="s">
        <v>695</v>
      </c>
      <c r="F7">
        <v>70506</v>
      </c>
      <c r="G7" t="s">
        <v>696</v>
      </c>
      <c r="H7">
        <v>119</v>
      </c>
      <c r="K7">
        <v>1500</v>
      </c>
      <c r="M7" s="73">
        <v>42979</v>
      </c>
      <c r="N7" s="73">
        <v>44804</v>
      </c>
      <c r="O7" t="s">
        <v>697</v>
      </c>
      <c r="P7">
        <v>1875</v>
      </c>
      <c r="Q7" t="b">
        <v>1</v>
      </c>
      <c r="R7">
        <v>1250</v>
      </c>
      <c r="S7" t="s">
        <v>808</v>
      </c>
      <c r="T7">
        <v>262.5</v>
      </c>
      <c r="U7" t="s">
        <v>809</v>
      </c>
      <c r="V7">
        <v>118.75</v>
      </c>
      <c r="W7" t="s">
        <v>810</v>
      </c>
      <c r="X7">
        <v>243.75</v>
      </c>
      <c r="AC7" t="s">
        <v>832</v>
      </c>
      <c r="AD7" t="s">
        <v>833</v>
      </c>
      <c r="AM7" t="s">
        <v>814</v>
      </c>
      <c r="AN7" t="s">
        <v>815</v>
      </c>
      <c r="AO7">
        <v>100</v>
      </c>
      <c r="AP7" t="s">
        <v>409</v>
      </c>
      <c r="AQ7" t="s">
        <v>825</v>
      </c>
      <c r="AR7" t="s">
        <v>817</v>
      </c>
      <c r="AS7" t="s">
        <v>694</v>
      </c>
      <c r="AT7">
        <v>70506</v>
      </c>
      <c r="AU7" t="s">
        <v>695</v>
      </c>
      <c r="AV7" t="s">
        <v>696</v>
      </c>
      <c r="AW7" t="s">
        <v>823</v>
      </c>
    </row>
    <row r="8" spans="1:60" x14ac:dyDescent="0.25">
      <c r="A8" t="s">
        <v>806</v>
      </c>
      <c r="B8" t="s">
        <v>693</v>
      </c>
      <c r="C8" t="s">
        <v>807</v>
      </c>
      <c r="D8" t="s">
        <v>694</v>
      </c>
      <c r="E8" t="s">
        <v>695</v>
      </c>
      <c r="F8">
        <v>70506</v>
      </c>
      <c r="G8" t="s">
        <v>696</v>
      </c>
      <c r="H8">
        <v>115</v>
      </c>
      <c r="K8">
        <v>1500</v>
      </c>
      <c r="M8" s="73">
        <v>44197</v>
      </c>
      <c r="N8" s="73">
        <v>46022</v>
      </c>
      <c r="O8" t="s">
        <v>697</v>
      </c>
      <c r="P8">
        <v>1875</v>
      </c>
      <c r="Q8" t="b">
        <v>1</v>
      </c>
      <c r="R8">
        <v>1250</v>
      </c>
      <c r="S8" t="s">
        <v>808</v>
      </c>
      <c r="T8">
        <v>262.5</v>
      </c>
      <c r="U8" t="s">
        <v>809</v>
      </c>
      <c r="V8">
        <v>118.75</v>
      </c>
      <c r="W8" t="s">
        <v>810</v>
      </c>
      <c r="X8">
        <v>243.75</v>
      </c>
      <c r="AC8" t="s">
        <v>834</v>
      </c>
      <c r="AD8" t="s">
        <v>835</v>
      </c>
      <c r="AM8" t="s">
        <v>814</v>
      </c>
      <c r="AN8" t="s">
        <v>815</v>
      </c>
      <c r="AO8">
        <v>100</v>
      </c>
      <c r="AP8" t="s">
        <v>409</v>
      </c>
      <c r="AQ8" t="s">
        <v>825</v>
      </c>
      <c r="AR8" t="s">
        <v>817</v>
      </c>
      <c r="AS8" t="s">
        <v>694</v>
      </c>
      <c r="AT8">
        <v>70506</v>
      </c>
      <c r="AU8" t="s">
        <v>695</v>
      </c>
      <c r="AV8" t="s">
        <v>696</v>
      </c>
      <c r="AW8" t="s">
        <v>823</v>
      </c>
    </row>
    <row r="9" spans="1:60" x14ac:dyDescent="0.25">
      <c r="A9" t="s">
        <v>806</v>
      </c>
      <c r="B9" t="s">
        <v>693</v>
      </c>
      <c r="C9" t="s">
        <v>807</v>
      </c>
      <c r="D9" t="s">
        <v>694</v>
      </c>
      <c r="E9" t="s">
        <v>695</v>
      </c>
      <c r="F9">
        <v>70506</v>
      </c>
      <c r="G9" t="s">
        <v>696</v>
      </c>
      <c r="H9">
        <v>123</v>
      </c>
      <c r="K9">
        <v>1500</v>
      </c>
      <c r="M9" s="73">
        <v>44743</v>
      </c>
      <c r="N9" s="73">
        <v>46568</v>
      </c>
      <c r="O9" t="s">
        <v>697</v>
      </c>
      <c r="P9">
        <v>2125</v>
      </c>
      <c r="Q9" t="b">
        <v>1</v>
      </c>
      <c r="R9">
        <v>0</v>
      </c>
      <c r="S9" t="s">
        <v>808</v>
      </c>
      <c r="T9">
        <v>262.5</v>
      </c>
      <c r="U9" t="s">
        <v>809</v>
      </c>
      <c r="V9">
        <v>118.75</v>
      </c>
      <c r="W9" t="s">
        <v>810</v>
      </c>
      <c r="X9">
        <v>243.75</v>
      </c>
      <c r="AC9" t="s">
        <v>836</v>
      </c>
      <c r="AD9" t="s">
        <v>837</v>
      </c>
      <c r="AM9" t="s">
        <v>814</v>
      </c>
      <c r="AN9" t="s">
        <v>815</v>
      </c>
      <c r="AO9">
        <v>100</v>
      </c>
      <c r="AP9" t="s">
        <v>409</v>
      </c>
      <c r="AQ9" t="s">
        <v>825</v>
      </c>
      <c r="AR9" t="s">
        <v>822</v>
      </c>
      <c r="AS9" t="s">
        <v>694</v>
      </c>
      <c r="AT9">
        <v>70596</v>
      </c>
      <c r="AU9" t="s">
        <v>695</v>
      </c>
      <c r="AV9" t="s">
        <v>696</v>
      </c>
      <c r="AW9" t="s">
        <v>823</v>
      </c>
    </row>
    <row r="10" spans="1:60" x14ac:dyDescent="0.25">
      <c r="A10" t="s">
        <v>806</v>
      </c>
      <c r="B10" t="s">
        <v>693</v>
      </c>
      <c r="C10" t="s">
        <v>807</v>
      </c>
      <c r="D10" t="s">
        <v>694</v>
      </c>
      <c r="E10" t="s">
        <v>695</v>
      </c>
      <c r="F10">
        <v>70506</v>
      </c>
      <c r="G10" t="s">
        <v>696</v>
      </c>
      <c r="H10">
        <v>117</v>
      </c>
      <c r="K10">
        <v>1500</v>
      </c>
      <c r="M10" s="73">
        <v>45170</v>
      </c>
      <c r="N10" s="73">
        <v>46996</v>
      </c>
      <c r="O10" t="s">
        <v>697</v>
      </c>
      <c r="P10">
        <v>2000</v>
      </c>
      <c r="Q10" t="b">
        <v>1</v>
      </c>
      <c r="R10">
        <v>1375</v>
      </c>
      <c r="S10" t="s">
        <v>808</v>
      </c>
      <c r="T10">
        <v>262.5</v>
      </c>
      <c r="U10" t="s">
        <v>809</v>
      </c>
      <c r="V10">
        <v>118.75</v>
      </c>
      <c r="W10" t="s">
        <v>810</v>
      </c>
      <c r="X10">
        <v>243.75</v>
      </c>
      <c r="AC10" t="s">
        <v>838</v>
      </c>
      <c r="AD10" t="s">
        <v>839</v>
      </c>
      <c r="AM10" t="s">
        <v>814</v>
      </c>
      <c r="AN10" t="s">
        <v>815</v>
      </c>
      <c r="AO10">
        <v>100</v>
      </c>
      <c r="AP10" t="s">
        <v>409</v>
      </c>
      <c r="AQ10" t="s">
        <v>825</v>
      </c>
      <c r="AR10" t="s">
        <v>822</v>
      </c>
      <c r="AS10" t="s">
        <v>694</v>
      </c>
      <c r="AT10">
        <v>70596</v>
      </c>
      <c r="AU10" t="s">
        <v>695</v>
      </c>
      <c r="AV10" t="s">
        <v>696</v>
      </c>
      <c r="AW10" t="s">
        <v>823</v>
      </c>
    </row>
    <row r="11" spans="1:60" x14ac:dyDescent="0.25">
      <c r="A11" t="s">
        <v>806</v>
      </c>
      <c r="B11" t="s">
        <v>693</v>
      </c>
      <c r="C11" t="s">
        <v>807</v>
      </c>
      <c r="D11" t="s">
        <v>694</v>
      </c>
      <c r="E11" t="s">
        <v>695</v>
      </c>
      <c r="F11">
        <v>70506</v>
      </c>
      <c r="G11" t="s">
        <v>696</v>
      </c>
      <c r="H11">
        <v>121</v>
      </c>
      <c r="K11">
        <v>1500</v>
      </c>
      <c r="M11" s="73">
        <v>42979</v>
      </c>
      <c r="N11" s="73">
        <v>44804</v>
      </c>
      <c r="O11" t="s">
        <v>697</v>
      </c>
      <c r="P11">
        <v>2187.5</v>
      </c>
      <c r="Q11" t="b">
        <v>1</v>
      </c>
      <c r="R11">
        <v>1562.5</v>
      </c>
      <c r="S11" t="s">
        <v>808</v>
      </c>
      <c r="T11">
        <v>262.5</v>
      </c>
      <c r="U11" t="s">
        <v>809</v>
      </c>
      <c r="V11">
        <v>118.75</v>
      </c>
      <c r="W11" t="s">
        <v>810</v>
      </c>
      <c r="X11">
        <v>243.75</v>
      </c>
      <c r="AC11" t="s">
        <v>840</v>
      </c>
      <c r="AD11" t="s">
        <v>841</v>
      </c>
      <c r="AM11" t="s">
        <v>814</v>
      </c>
      <c r="AN11" t="s">
        <v>815</v>
      </c>
      <c r="AO11">
        <v>100</v>
      </c>
      <c r="AP11" t="s">
        <v>409</v>
      </c>
      <c r="AQ11" t="s">
        <v>825</v>
      </c>
      <c r="AR11" t="s">
        <v>817</v>
      </c>
      <c r="AS11" t="s">
        <v>694</v>
      </c>
      <c r="AT11">
        <v>70506</v>
      </c>
      <c r="AU11" t="s">
        <v>695</v>
      </c>
      <c r="AV11" t="s">
        <v>696</v>
      </c>
      <c r="AW11" t="s">
        <v>823</v>
      </c>
    </row>
    <row r="12" spans="1:60" x14ac:dyDescent="0.25">
      <c r="A12" t="s">
        <v>806</v>
      </c>
      <c r="B12" t="s">
        <v>693</v>
      </c>
      <c r="C12" t="s">
        <v>807</v>
      </c>
      <c r="D12" t="s">
        <v>694</v>
      </c>
      <c r="E12" t="s">
        <v>695</v>
      </c>
      <c r="F12">
        <v>70506</v>
      </c>
      <c r="G12" t="s">
        <v>696</v>
      </c>
      <c r="H12">
        <v>125</v>
      </c>
      <c r="K12">
        <v>1500</v>
      </c>
      <c r="M12" s="73">
        <v>42979</v>
      </c>
      <c r="N12" s="73">
        <v>44804</v>
      </c>
      <c r="O12" t="s">
        <v>697</v>
      </c>
      <c r="P12">
        <v>2125</v>
      </c>
      <c r="Q12" t="b">
        <v>1</v>
      </c>
      <c r="R12">
        <v>1500</v>
      </c>
      <c r="S12" t="s">
        <v>808</v>
      </c>
      <c r="T12">
        <v>262.5</v>
      </c>
      <c r="U12" t="s">
        <v>809</v>
      </c>
      <c r="V12">
        <v>118.75</v>
      </c>
      <c r="W12" t="s">
        <v>810</v>
      </c>
      <c r="X12">
        <v>243.75</v>
      </c>
      <c r="AC12" t="s">
        <v>842</v>
      </c>
      <c r="AD12" t="s">
        <v>812</v>
      </c>
      <c r="AE12" t="s">
        <v>843</v>
      </c>
      <c r="AN12" t="s">
        <v>814</v>
      </c>
      <c r="AO12" t="s">
        <v>815</v>
      </c>
      <c r="AP12">
        <v>100</v>
      </c>
      <c r="AQ12" t="s">
        <v>409</v>
      </c>
      <c r="AR12" t="s">
        <v>825</v>
      </c>
      <c r="AS12" t="s">
        <v>817</v>
      </c>
      <c r="AT12" t="s">
        <v>694</v>
      </c>
      <c r="AU12">
        <v>70506</v>
      </c>
      <c r="AV12" t="s">
        <v>695</v>
      </c>
      <c r="AW12" t="s">
        <v>696</v>
      </c>
      <c r="AX12" t="s">
        <v>823</v>
      </c>
    </row>
    <row r="13" spans="1:60" x14ac:dyDescent="0.25">
      <c r="A13" t="s">
        <v>806</v>
      </c>
      <c r="B13" t="s">
        <v>693</v>
      </c>
      <c r="C13" t="s">
        <v>807</v>
      </c>
      <c r="D13" t="s">
        <v>694</v>
      </c>
      <c r="E13" t="s">
        <v>695</v>
      </c>
      <c r="F13">
        <v>70506</v>
      </c>
      <c r="G13" t="s">
        <v>696</v>
      </c>
      <c r="H13">
        <v>141</v>
      </c>
      <c r="K13">
        <v>1500</v>
      </c>
      <c r="M13" s="73">
        <v>42979</v>
      </c>
      <c r="N13" s="73">
        <v>44804</v>
      </c>
      <c r="O13" t="s">
        <v>697</v>
      </c>
      <c r="P13">
        <v>1875</v>
      </c>
      <c r="Q13" t="b">
        <v>1</v>
      </c>
      <c r="R13">
        <v>1250</v>
      </c>
      <c r="S13" t="s">
        <v>808</v>
      </c>
      <c r="T13">
        <v>262.5</v>
      </c>
      <c r="U13" t="s">
        <v>809</v>
      </c>
      <c r="V13">
        <v>118.75</v>
      </c>
      <c r="W13" t="s">
        <v>810</v>
      </c>
      <c r="X13">
        <v>243.75</v>
      </c>
      <c r="AC13" t="s">
        <v>844</v>
      </c>
      <c r="AD13" t="s">
        <v>845</v>
      </c>
      <c r="AE13" t="s">
        <v>846</v>
      </c>
      <c r="AN13" t="s">
        <v>814</v>
      </c>
      <c r="AO13" t="s">
        <v>815</v>
      </c>
      <c r="AP13">
        <v>100</v>
      </c>
      <c r="AQ13" t="s">
        <v>409</v>
      </c>
      <c r="AR13" t="s">
        <v>825</v>
      </c>
      <c r="AS13" t="s">
        <v>817</v>
      </c>
      <c r="AT13" t="s">
        <v>694</v>
      </c>
      <c r="AU13">
        <v>70506</v>
      </c>
      <c r="AV13" t="s">
        <v>695</v>
      </c>
      <c r="AW13" t="s">
        <v>696</v>
      </c>
      <c r="AX13" t="s">
        <v>823</v>
      </c>
    </row>
    <row r="14" spans="1:60" x14ac:dyDescent="0.25">
      <c r="A14" t="s">
        <v>806</v>
      </c>
      <c r="B14" t="s">
        <v>693</v>
      </c>
      <c r="C14" t="s">
        <v>807</v>
      </c>
      <c r="D14" t="s">
        <v>694</v>
      </c>
      <c r="E14" t="s">
        <v>695</v>
      </c>
      <c r="F14">
        <v>70506</v>
      </c>
      <c r="G14" t="s">
        <v>696</v>
      </c>
      <c r="H14">
        <v>127</v>
      </c>
      <c r="K14">
        <v>1500</v>
      </c>
      <c r="M14" s="73">
        <v>42979</v>
      </c>
      <c r="N14" s="73">
        <v>44804</v>
      </c>
      <c r="O14" t="s">
        <v>697</v>
      </c>
      <c r="P14">
        <v>1875</v>
      </c>
      <c r="Q14" t="b">
        <v>1</v>
      </c>
      <c r="R14">
        <v>1250</v>
      </c>
      <c r="S14" t="s">
        <v>808</v>
      </c>
      <c r="T14">
        <v>262.5</v>
      </c>
      <c r="U14" t="s">
        <v>809</v>
      </c>
      <c r="V14">
        <v>118.75</v>
      </c>
      <c r="W14" t="s">
        <v>810</v>
      </c>
      <c r="X14">
        <v>243.75</v>
      </c>
      <c r="AC14" t="s">
        <v>847</v>
      </c>
      <c r="AD14" t="s">
        <v>848</v>
      </c>
      <c r="AM14" t="s">
        <v>814</v>
      </c>
      <c r="AN14" t="s">
        <v>815</v>
      </c>
      <c r="AO14">
        <v>100</v>
      </c>
      <c r="AP14" t="s">
        <v>409</v>
      </c>
      <c r="AQ14" t="s">
        <v>825</v>
      </c>
      <c r="AR14" t="s">
        <v>817</v>
      </c>
      <c r="AS14" t="s">
        <v>694</v>
      </c>
      <c r="AT14">
        <v>70506</v>
      </c>
      <c r="AU14" t="s">
        <v>695</v>
      </c>
      <c r="AV14" t="s">
        <v>696</v>
      </c>
      <c r="AW14" t="s">
        <v>823</v>
      </c>
    </row>
    <row r="15" spans="1:60" x14ac:dyDescent="0.25">
      <c r="A15" t="s">
        <v>806</v>
      </c>
      <c r="B15" t="s">
        <v>693</v>
      </c>
      <c r="C15" t="s">
        <v>807</v>
      </c>
      <c r="D15" t="s">
        <v>694</v>
      </c>
      <c r="E15" t="s">
        <v>695</v>
      </c>
      <c r="F15">
        <v>70506</v>
      </c>
      <c r="G15" t="s">
        <v>696</v>
      </c>
      <c r="H15">
        <v>147</v>
      </c>
      <c r="K15">
        <v>1500</v>
      </c>
      <c r="M15" s="73">
        <v>42979</v>
      </c>
      <c r="N15" s="73">
        <v>44804</v>
      </c>
      <c r="O15" t="s">
        <v>697</v>
      </c>
      <c r="P15">
        <v>1875</v>
      </c>
      <c r="Q15" t="b">
        <v>1</v>
      </c>
      <c r="R15">
        <v>1250</v>
      </c>
      <c r="S15" t="s">
        <v>808</v>
      </c>
      <c r="T15">
        <v>262.5</v>
      </c>
      <c r="U15" t="s">
        <v>809</v>
      </c>
      <c r="V15">
        <v>118.75</v>
      </c>
      <c r="W15" t="s">
        <v>810</v>
      </c>
      <c r="X15">
        <v>243.75</v>
      </c>
      <c r="AC15" t="s">
        <v>849</v>
      </c>
      <c r="AD15" t="s">
        <v>850</v>
      </c>
      <c r="AM15" t="s">
        <v>814</v>
      </c>
      <c r="AN15" t="s">
        <v>815</v>
      </c>
      <c r="AO15">
        <v>100</v>
      </c>
      <c r="AP15" t="s">
        <v>409</v>
      </c>
      <c r="AQ15" t="s">
        <v>825</v>
      </c>
      <c r="AR15" t="s">
        <v>817</v>
      </c>
      <c r="AS15" t="s">
        <v>694</v>
      </c>
      <c r="AT15">
        <v>70506</v>
      </c>
      <c r="AU15" t="s">
        <v>695</v>
      </c>
      <c r="AV15" t="s">
        <v>696</v>
      </c>
      <c r="AW15" t="s">
        <v>823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4"/>
  <sheetViews>
    <sheetView workbookViewId="0"/>
  </sheetViews>
  <sheetFormatPr defaultColWidth="18.7109375" defaultRowHeight="12.75" x14ac:dyDescent="0.2"/>
  <cols>
    <col min="1" max="1" width="8.5703125" style="7" customWidth="1"/>
    <col min="2" max="2" width="19.42578125" style="2" customWidth="1"/>
    <col min="3" max="3" width="6.7109375" style="7" customWidth="1"/>
    <col min="4" max="4" width="34.28515625" style="2" customWidth="1"/>
    <col min="5" max="5" width="28" style="2" customWidth="1"/>
    <col min="6" max="6" width="20.85546875" style="2" customWidth="1"/>
    <col min="7" max="7" width="16.7109375" style="2" customWidth="1"/>
    <col min="8" max="8" width="33.28515625" style="2" customWidth="1"/>
    <col min="9" max="9" width="31.28515625" style="2" customWidth="1"/>
    <col min="10" max="10" width="27.28515625" style="2" customWidth="1"/>
    <col min="11" max="11" width="23.5703125" style="2" customWidth="1"/>
    <col min="12" max="12" width="23.42578125" style="2" customWidth="1"/>
    <col min="13" max="13" width="24.42578125" style="2" customWidth="1"/>
    <col min="14" max="15" width="18.7109375" style="2" customWidth="1"/>
    <col min="16" max="16384" width="18.7109375" style="2"/>
  </cols>
  <sheetData>
    <row r="1" spans="1:13" ht="42" customHeight="1" x14ac:dyDescent="0.2">
      <c r="A1" s="1" t="s">
        <v>618</v>
      </c>
      <c r="B1" s="1" t="s">
        <v>619</v>
      </c>
      <c r="C1" s="1" t="s">
        <v>462</v>
      </c>
      <c r="D1" s="1" t="s">
        <v>620</v>
      </c>
      <c r="E1" s="1" t="s">
        <v>621</v>
      </c>
      <c r="F1" s="1" t="s">
        <v>622</v>
      </c>
      <c r="G1" s="1" t="s">
        <v>623</v>
      </c>
      <c r="H1" s="1" t="s">
        <v>624</v>
      </c>
      <c r="I1" s="1" t="s">
        <v>625</v>
      </c>
      <c r="J1" s="1" t="s">
        <v>626</v>
      </c>
      <c r="K1" s="1" t="s">
        <v>627</v>
      </c>
      <c r="L1" s="1" t="s">
        <v>628</v>
      </c>
      <c r="M1" s="1" t="s">
        <v>629</v>
      </c>
    </row>
    <row r="2" spans="1:13" ht="42" customHeight="1" x14ac:dyDescent="0.2">
      <c r="A2" s="3" t="s">
        <v>135</v>
      </c>
      <c r="B2" s="4" t="s">
        <v>502</v>
      </c>
      <c r="C2" s="5">
        <v>9928</v>
      </c>
      <c r="D2" s="4" t="s">
        <v>238</v>
      </c>
      <c r="E2" s="4" t="s">
        <v>239</v>
      </c>
      <c r="F2" s="4" t="s">
        <v>237</v>
      </c>
      <c r="G2" s="6">
        <v>17494.37</v>
      </c>
      <c r="H2" s="4" t="s">
        <v>505</v>
      </c>
      <c r="I2" s="4" t="s">
        <v>240</v>
      </c>
      <c r="J2" s="4" t="s">
        <v>241</v>
      </c>
      <c r="K2" s="4" t="s">
        <v>242</v>
      </c>
      <c r="L2" s="4" t="s">
        <v>244</v>
      </c>
      <c r="M2" s="4"/>
    </row>
    <row r="3" spans="1:13" ht="42" customHeight="1" x14ac:dyDescent="0.2">
      <c r="A3" s="3">
        <v>105</v>
      </c>
      <c r="B3" s="4" t="s">
        <v>251</v>
      </c>
      <c r="C3" s="5">
        <v>2222</v>
      </c>
      <c r="D3" s="4" t="s">
        <v>257</v>
      </c>
      <c r="E3" s="4" t="s">
        <v>258</v>
      </c>
      <c r="F3" s="4" t="s">
        <v>256</v>
      </c>
      <c r="G3" s="6">
        <v>3231.16</v>
      </c>
      <c r="H3" s="4" t="s">
        <v>505</v>
      </c>
      <c r="I3" s="4" t="s">
        <v>259</v>
      </c>
      <c r="J3" s="4" t="s">
        <v>260</v>
      </c>
      <c r="K3" s="4" t="s">
        <v>261</v>
      </c>
      <c r="L3" s="4" t="s">
        <v>244</v>
      </c>
      <c r="M3" s="4"/>
    </row>
    <row r="4" spans="1:13" ht="42" customHeight="1" x14ac:dyDescent="0.2">
      <c r="A4" s="3">
        <v>107</v>
      </c>
      <c r="B4" s="4" t="s">
        <v>266</v>
      </c>
      <c r="C4" s="5">
        <v>1743</v>
      </c>
      <c r="D4" s="4" t="s">
        <v>270</v>
      </c>
      <c r="E4" s="4" t="s">
        <v>271</v>
      </c>
      <c r="F4" s="4" t="s">
        <v>269</v>
      </c>
      <c r="G4" s="6">
        <v>1561.43</v>
      </c>
      <c r="H4" s="4" t="s">
        <v>505</v>
      </c>
      <c r="I4" s="4" t="s">
        <v>272</v>
      </c>
      <c r="J4" s="4" t="s">
        <v>260</v>
      </c>
      <c r="K4" s="4" t="s">
        <v>273</v>
      </c>
      <c r="L4" s="4" t="s">
        <v>244</v>
      </c>
      <c r="M4" s="4"/>
    </row>
    <row r="5" spans="1:13" ht="42" customHeight="1" x14ac:dyDescent="0.2">
      <c r="A5" s="3">
        <v>109</v>
      </c>
      <c r="B5" s="4" t="s">
        <v>278</v>
      </c>
      <c r="C5" s="5">
        <v>2546</v>
      </c>
      <c r="D5" s="4" t="s">
        <v>282</v>
      </c>
      <c r="E5" s="4" t="s">
        <v>283</v>
      </c>
      <c r="F5" s="4" t="s">
        <v>281</v>
      </c>
      <c r="G5" s="6">
        <v>3808.39</v>
      </c>
      <c r="H5" s="4" t="s">
        <v>505</v>
      </c>
      <c r="I5" s="4" t="s">
        <v>259</v>
      </c>
      <c r="J5" s="4" t="s">
        <v>260</v>
      </c>
      <c r="K5" s="4" t="s">
        <v>261</v>
      </c>
      <c r="L5" s="4" t="s">
        <v>244</v>
      </c>
      <c r="M5" s="4"/>
    </row>
    <row r="6" spans="1:13" ht="42" customHeight="1" x14ac:dyDescent="0.2">
      <c r="A6" s="3">
        <v>111</v>
      </c>
      <c r="B6" s="4" t="s">
        <v>288</v>
      </c>
      <c r="C6" s="5">
        <v>1690</v>
      </c>
      <c r="D6" s="4" t="s">
        <v>292</v>
      </c>
      <c r="E6" s="4" t="s">
        <v>293</v>
      </c>
      <c r="F6" s="4" t="s">
        <v>291</v>
      </c>
      <c r="G6" s="6">
        <v>2605.42</v>
      </c>
      <c r="H6" s="4" t="s">
        <v>505</v>
      </c>
      <c r="I6" s="4" t="s">
        <v>259</v>
      </c>
      <c r="J6" s="4" t="s">
        <v>260</v>
      </c>
      <c r="K6" s="4" t="s">
        <v>261</v>
      </c>
      <c r="L6" s="4" t="s">
        <v>244</v>
      </c>
      <c r="M6" s="4"/>
    </row>
    <row r="7" spans="1:13" ht="42" customHeight="1" x14ac:dyDescent="0.2">
      <c r="A7" s="3">
        <v>113</v>
      </c>
      <c r="B7" s="4" t="s">
        <v>299</v>
      </c>
      <c r="C7" s="5">
        <v>2606</v>
      </c>
      <c r="D7" s="4" t="s">
        <v>303</v>
      </c>
      <c r="E7" s="4"/>
      <c r="F7" s="4"/>
      <c r="G7" s="6"/>
      <c r="H7" s="4" t="s">
        <v>505</v>
      </c>
      <c r="I7" s="4"/>
      <c r="J7" s="4"/>
      <c r="K7" s="4"/>
      <c r="L7" s="4"/>
      <c r="M7" s="4"/>
    </row>
    <row r="8" spans="1:13" ht="42" customHeight="1" x14ac:dyDescent="0.2">
      <c r="A8" s="3" t="s">
        <v>148</v>
      </c>
      <c r="B8" s="4" t="s">
        <v>309</v>
      </c>
      <c r="C8" s="5">
        <v>4340</v>
      </c>
      <c r="D8" s="4" t="s">
        <v>313</v>
      </c>
      <c r="E8" s="4" t="s">
        <v>283</v>
      </c>
      <c r="F8" s="4" t="s">
        <v>312</v>
      </c>
      <c r="G8" s="6">
        <v>6690.83</v>
      </c>
      <c r="H8" s="4" t="s">
        <v>505</v>
      </c>
      <c r="I8" s="4" t="s">
        <v>272</v>
      </c>
      <c r="J8" s="4" t="s">
        <v>260</v>
      </c>
      <c r="K8" s="4" t="s">
        <v>314</v>
      </c>
      <c r="L8" s="4" t="s">
        <v>244</v>
      </c>
      <c r="M8" s="4"/>
    </row>
    <row r="9" spans="1:13" ht="42" customHeight="1" x14ac:dyDescent="0.2">
      <c r="A9" s="3">
        <v>117.5</v>
      </c>
      <c r="B9" s="4" t="s">
        <v>321</v>
      </c>
      <c r="C9" s="5">
        <v>1769</v>
      </c>
      <c r="D9" s="4" t="s">
        <v>322</v>
      </c>
      <c r="E9" s="4" t="s">
        <v>516</v>
      </c>
      <c r="F9" s="4"/>
      <c r="G9" s="4"/>
      <c r="H9" s="4" t="s">
        <v>505</v>
      </c>
      <c r="I9" s="4"/>
      <c r="J9" s="4"/>
      <c r="K9" s="4"/>
      <c r="L9" s="4" t="s">
        <v>244</v>
      </c>
      <c r="M9" s="4"/>
    </row>
    <row r="10" spans="1:13" ht="42" customHeight="1" x14ac:dyDescent="0.2">
      <c r="A10" s="3">
        <v>119</v>
      </c>
      <c r="B10" s="4" t="s">
        <v>327</v>
      </c>
      <c r="C10" s="5">
        <v>1982</v>
      </c>
      <c r="D10" s="4" t="s">
        <v>330</v>
      </c>
      <c r="E10" s="4" t="s">
        <v>516</v>
      </c>
      <c r="F10" s="4" t="s">
        <v>329</v>
      </c>
      <c r="G10" s="6">
        <v>2890.42</v>
      </c>
      <c r="H10" s="4" t="s">
        <v>332</v>
      </c>
      <c r="I10" s="4" t="s">
        <v>331</v>
      </c>
      <c r="J10" s="4" t="s">
        <v>260</v>
      </c>
      <c r="K10" s="4" t="s">
        <v>261</v>
      </c>
      <c r="L10" s="4" t="s">
        <v>244</v>
      </c>
      <c r="M10" s="4"/>
    </row>
    <row r="11" spans="1:13" ht="42" customHeight="1" x14ac:dyDescent="0.2">
      <c r="A11" s="3">
        <v>119.5</v>
      </c>
      <c r="B11" s="4" t="s">
        <v>337</v>
      </c>
      <c r="C11" s="5">
        <v>1974</v>
      </c>
      <c r="D11" s="4" t="s">
        <v>342</v>
      </c>
      <c r="E11" s="4" t="s">
        <v>343</v>
      </c>
      <c r="F11" s="4" t="s">
        <v>341</v>
      </c>
      <c r="G11" s="6">
        <v>3035.03</v>
      </c>
      <c r="H11" s="4" t="s">
        <v>344</v>
      </c>
      <c r="I11" s="4" t="s">
        <v>259</v>
      </c>
      <c r="J11" s="4" t="s">
        <v>260</v>
      </c>
      <c r="K11" s="4" t="s">
        <v>261</v>
      </c>
      <c r="L11" s="4" t="s">
        <v>244</v>
      </c>
      <c r="M11" s="4"/>
    </row>
    <row r="12" spans="1:13" ht="42" customHeight="1" x14ac:dyDescent="0.2">
      <c r="A12" s="3">
        <v>121</v>
      </c>
      <c r="B12" s="4" t="s">
        <v>349</v>
      </c>
      <c r="C12" s="5">
        <v>1709</v>
      </c>
      <c r="D12" s="4" t="s">
        <v>353</v>
      </c>
      <c r="E12" s="4" t="s">
        <v>516</v>
      </c>
      <c r="F12" s="4" t="s">
        <v>352</v>
      </c>
      <c r="G12" s="6">
        <v>2741.52</v>
      </c>
      <c r="H12" s="4" t="s">
        <v>505</v>
      </c>
      <c r="I12" s="4" t="s">
        <v>331</v>
      </c>
      <c r="J12" s="4" t="s">
        <v>260</v>
      </c>
      <c r="K12" s="4" t="s">
        <v>261</v>
      </c>
      <c r="L12" s="4" t="s">
        <v>244</v>
      </c>
      <c r="M12" s="4"/>
    </row>
    <row r="13" spans="1:13" ht="42" customHeight="1" x14ac:dyDescent="0.2">
      <c r="A13" s="3">
        <v>123</v>
      </c>
      <c r="B13" s="4" t="s">
        <v>546</v>
      </c>
      <c r="C13" s="5">
        <v>3563</v>
      </c>
      <c r="D13" s="4" t="s">
        <v>362</v>
      </c>
      <c r="E13" s="4" t="s">
        <v>516</v>
      </c>
      <c r="F13" s="4" t="s">
        <v>361</v>
      </c>
      <c r="G13" s="6">
        <v>5492.96</v>
      </c>
      <c r="H13" s="4" t="s">
        <v>505</v>
      </c>
      <c r="I13" s="4" t="s">
        <v>331</v>
      </c>
      <c r="J13" s="4" t="s">
        <v>260</v>
      </c>
      <c r="K13" s="4" t="s">
        <v>261</v>
      </c>
      <c r="L13" s="4" t="s">
        <v>244</v>
      </c>
      <c r="M13" s="4"/>
    </row>
    <row r="14" spans="1:13" ht="42" customHeight="1" x14ac:dyDescent="0.2">
      <c r="A14" s="3" t="s">
        <v>153</v>
      </c>
      <c r="B14" s="4" t="s">
        <v>367</v>
      </c>
      <c r="C14" s="5">
        <v>4273</v>
      </c>
      <c r="D14" s="4" t="s">
        <v>370</v>
      </c>
      <c r="E14" s="4" t="s">
        <v>516</v>
      </c>
      <c r="F14" s="4" t="s">
        <v>369</v>
      </c>
      <c r="G14" s="6">
        <v>6587.54</v>
      </c>
      <c r="H14" s="4" t="s">
        <v>505</v>
      </c>
      <c r="I14" s="4" t="s">
        <v>331</v>
      </c>
      <c r="J14" s="4" t="s">
        <v>260</v>
      </c>
      <c r="K14" s="4" t="s">
        <v>371</v>
      </c>
      <c r="L14" s="4" t="s">
        <v>244</v>
      </c>
      <c r="M14" s="4"/>
    </row>
    <row r="15" spans="1:13" ht="42" customHeight="1" x14ac:dyDescent="0.2">
      <c r="A15" s="3">
        <v>129</v>
      </c>
      <c r="B15" s="4" t="s">
        <v>552</v>
      </c>
      <c r="C15" s="5">
        <v>1789</v>
      </c>
      <c r="D15" s="4" t="s">
        <v>380</v>
      </c>
      <c r="E15" s="4" t="s">
        <v>516</v>
      </c>
      <c r="F15" s="4" t="s">
        <v>379</v>
      </c>
      <c r="G15" s="6">
        <v>2832.58</v>
      </c>
      <c r="H15" s="4" t="s">
        <v>505</v>
      </c>
      <c r="I15" s="4" t="s">
        <v>331</v>
      </c>
      <c r="J15" s="4" t="s">
        <v>260</v>
      </c>
      <c r="K15" s="4" t="s">
        <v>371</v>
      </c>
      <c r="L15" s="4" t="s">
        <v>244</v>
      </c>
      <c r="M15" s="4"/>
    </row>
    <row r="16" spans="1:13" ht="42" customHeight="1" x14ac:dyDescent="0.2">
      <c r="A16" s="3" t="s">
        <v>556</v>
      </c>
      <c r="B16" s="4" t="s">
        <v>385</v>
      </c>
      <c r="C16" s="5">
        <v>3179</v>
      </c>
      <c r="D16" s="4"/>
      <c r="E16" s="4"/>
      <c r="F16" s="4"/>
      <c r="G16" s="6"/>
      <c r="H16" s="4" t="s">
        <v>505</v>
      </c>
      <c r="I16" s="4"/>
      <c r="J16" s="4"/>
      <c r="K16" s="4"/>
      <c r="L16" s="4" t="s">
        <v>244</v>
      </c>
      <c r="M16" s="4"/>
    </row>
    <row r="17" spans="1:13" ht="42" customHeight="1" x14ac:dyDescent="0.2">
      <c r="A17" s="3" t="s">
        <v>166</v>
      </c>
      <c r="B17" s="4" t="s">
        <v>392</v>
      </c>
      <c r="C17" s="5">
        <v>1580</v>
      </c>
      <c r="D17" s="4" t="s">
        <v>396</v>
      </c>
      <c r="E17" s="4" t="s">
        <v>516</v>
      </c>
      <c r="F17" s="4" t="s">
        <v>395</v>
      </c>
      <c r="G17" s="6">
        <v>2304.17</v>
      </c>
      <c r="H17" s="4" t="s">
        <v>397</v>
      </c>
      <c r="I17" s="4" t="s">
        <v>331</v>
      </c>
      <c r="J17" s="4" t="s">
        <v>260</v>
      </c>
      <c r="K17" s="4" t="s">
        <v>371</v>
      </c>
      <c r="L17" s="4" t="s">
        <v>244</v>
      </c>
      <c r="M17" s="4"/>
    </row>
    <row r="18" spans="1:13" ht="42" customHeight="1" x14ac:dyDescent="0.2">
      <c r="A18" s="3" t="s">
        <v>402</v>
      </c>
      <c r="B18" s="4" t="s">
        <v>562</v>
      </c>
      <c r="C18" s="5">
        <v>1580</v>
      </c>
      <c r="D18" s="4"/>
      <c r="E18" s="4"/>
      <c r="F18" s="4"/>
      <c r="G18" s="6"/>
      <c r="H18" s="4" t="s">
        <v>505</v>
      </c>
      <c r="I18" s="4"/>
      <c r="J18" s="4"/>
      <c r="K18" s="4"/>
      <c r="L18" s="4" t="s">
        <v>244</v>
      </c>
      <c r="M18" s="4"/>
    </row>
    <row r="19" spans="1:13" ht="42" customHeight="1" x14ac:dyDescent="0.2">
      <c r="A19" s="3">
        <v>137</v>
      </c>
      <c r="B19" s="4" t="s">
        <v>412</v>
      </c>
      <c r="C19" s="5">
        <v>2053</v>
      </c>
      <c r="D19" s="4" t="s">
        <v>415</v>
      </c>
      <c r="E19" s="4" t="s">
        <v>516</v>
      </c>
      <c r="F19" s="4" t="s">
        <v>414</v>
      </c>
      <c r="G19" s="6">
        <v>3062.55</v>
      </c>
      <c r="H19" s="4" t="s">
        <v>505</v>
      </c>
      <c r="I19" s="4" t="s">
        <v>331</v>
      </c>
      <c r="J19" s="4" t="s">
        <v>260</v>
      </c>
      <c r="K19" s="4" t="s">
        <v>261</v>
      </c>
      <c r="L19" s="4" t="s">
        <v>244</v>
      </c>
      <c r="M19" s="4"/>
    </row>
    <row r="20" spans="1:13" ht="42" customHeight="1" x14ac:dyDescent="0.2">
      <c r="A20" s="3" t="s">
        <v>176</v>
      </c>
      <c r="B20" s="4" t="s">
        <v>420</v>
      </c>
      <c r="C20" s="5">
        <v>3834</v>
      </c>
      <c r="D20" s="4" t="s">
        <v>423</v>
      </c>
      <c r="E20" s="4" t="s">
        <v>516</v>
      </c>
      <c r="F20" s="4" t="s">
        <v>422</v>
      </c>
      <c r="G20" s="6">
        <v>5910.75</v>
      </c>
      <c r="H20" s="4" t="s">
        <v>505</v>
      </c>
      <c r="I20" s="4" t="s">
        <v>331</v>
      </c>
      <c r="J20" s="4" t="s">
        <v>260</v>
      </c>
      <c r="K20" s="4" t="s">
        <v>261</v>
      </c>
      <c r="L20" s="4" t="s">
        <v>244</v>
      </c>
      <c r="M20" s="4"/>
    </row>
    <row r="21" spans="1:13" ht="42" customHeight="1" x14ac:dyDescent="0.2">
      <c r="A21" s="3">
        <v>143</v>
      </c>
      <c r="B21" s="4" t="s">
        <v>429</v>
      </c>
      <c r="C21" s="5">
        <v>1917</v>
      </c>
      <c r="D21" s="4" t="s">
        <v>432</v>
      </c>
      <c r="E21" s="4" t="s">
        <v>516</v>
      </c>
      <c r="F21" s="4" t="s">
        <v>431</v>
      </c>
      <c r="G21" s="6">
        <v>3187.01</v>
      </c>
      <c r="H21" s="4" t="s">
        <v>505</v>
      </c>
      <c r="I21" s="4" t="s">
        <v>331</v>
      </c>
      <c r="J21" s="4" t="s">
        <v>260</v>
      </c>
      <c r="K21" s="4" t="s">
        <v>261</v>
      </c>
      <c r="L21" s="4" t="s">
        <v>244</v>
      </c>
      <c r="M21" s="4"/>
    </row>
    <row r="22" spans="1:13" ht="42" customHeight="1" x14ac:dyDescent="0.2">
      <c r="A22" s="3">
        <v>145</v>
      </c>
      <c r="B22" s="4" t="s">
        <v>385</v>
      </c>
      <c r="C22" s="5">
        <v>1917</v>
      </c>
      <c r="D22" s="4"/>
      <c r="E22" s="4"/>
      <c r="F22" s="4"/>
      <c r="G22" s="6"/>
      <c r="H22" s="4" t="s">
        <v>505</v>
      </c>
      <c r="I22" s="4"/>
      <c r="J22" s="4"/>
      <c r="K22" s="4"/>
      <c r="L22" s="4" t="s">
        <v>244</v>
      </c>
      <c r="M22" s="4"/>
    </row>
    <row r="23" spans="1:13" ht="42" customHeight="1" x14ac:dyDescent="0.2">
      <c r="A23" s="3">
        <v>149</v>
      </c>
      <c r="B23" s="4" t="s">
        <v>443</v>
      </c>
      <c r="C23" s="5">
        <v>4613</v>
      </c>
      <c r="D23" s="4" t="s">
        <v>447</v>
      </c>
      <c r="E23" s="4" t="s">
        <v>630</v>
      </c>
      <c r="F23" s="4" t="s">
        <v>446</v>
      </c>
      <c r="G23" s="6">
        <v>11404.13</v>
      </c>
      <c r="H23" s="4" t="s">
        <v>505</v>
      </c>
      <c r="I23" s="4" t="s">
        <v>331</v>
      </c>
      <c r="J23" s="4" t="s">
        <v>260</v>
      </c>
      <c r="K23" s="4" t="s">
        <v>261</v>
      </c>
      <c r="L23" s="4" t="s">
        <v>244</v>
      </c>
      <c r="M23" s="4"/>
    </row>
    <row r="24" spans="1:13" ht="42" customHeight="1" x14ac:dyDescent="0.2">
      <c r="C24" s="8">
        <f>SUM(C2:C23)</f>
        <v>62807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V20"/>
  <sheetViews>
    <sheetView workbookViewId="0"/>
  </sheetViews>
  <sheetFormatPr defaultRowHeight="15" x14ac:dyDescent="0.25"/>
  <cols>
    <col min="1" max="1" width="50" customWidth="1"/>
    <col min="2" max="2" width="26" customWidth="1"/>
    <col min="3" max="3" width="50" customWidth="1"/>
    <col min="4" max="4" width="27" customWidth="1"/>
    <col min="5" max="5" width="50" customWidth="1"/>
    <col min="6" max="6" width="7" customWidth="1"/>
    <col min="7" max="7" width="9" customWidth="1"/>
    <col min="8" max="8" width="15" customWidth="1"/>
    <col min="9" max="9" width="50" customWidth="1"/>
    <col min="10" max="10" width="16" customWidth="1"/>
    <col min="11" max="11" width="11" customWidth="1"/>
    <col min="12" max="12" width="12" customWidth="1"/>
    <col min="13" max="13" width="10" customWidth="1"/>
    <col min="14" max="14" width="11" customWidth="1"/>
    <col min="15" max="15" width="9" customWidth="1"/>
    <col min="16" max="16" width="18" customWidth="1"/>
    <col min="17" max="17" width="12" customWidth="1"/>
    <col min="18" max="18" width="13" customWidth="1"/>
    <col min="19" max="19" width="18" customWidth="1"/>
    <col min="20" max="20" width="16" customWidth="1"/>
    <col min="21" max="21" width="13" customWidth="1"/>
    <col min="22" max="22" width="14" customWidth="1"/>
    <col min="23" max="23" width="25" customWidth="1"/>
    <col min="24" max="24" width="20" customWidth="1"/>
    <col min="25" max="25" width="18" customWidth="1"/>
    <col min="26" max="26" width="17" customWidth="1"/>
    <col min="27" max="27" width="15" customWidth="1"/>
    <col min="28" max="28" width="19" customWidth="1"/>
    <col min="29" max="29" width="31" customWidth="1"/>
    <col min="30" max="30" width="33" customWidth="1"/>
    <col min="31" max="31" width="36" customWidth="1"/>
    <col min="32" max="32" width="31" customWidth="1"/>
    <col min="33" max="33" width="33" customWidth="1"/>
    <col min="34" max="34" width="36" customWidth="1"/>
    <col min="35" max="35" width="24" customWidth="1"/>
    <col min="36" max="36" width="26" customWidth="1"/>
    <col min="37" max="37" width="24" customWidth="1"/>
    <col min="38" max="38" width="26" customWidth="1"/>
    <col min="39" max="39" width="21" customWidth="1"/>
    <col min="40" max="40" width="20" customWidth="1"/>
    <col min="41" max="41" width="50" customWidth="1"/>
    <col min="42" max="43" width="23" customWidth="1"/>
    <col min="44" max="44" width="33" customWidth="1"/>
    <col min="45" max="45" width="34" customWidth="1"/>
    <col min="46" max="46" width="50" customWidth="1"/>
    <col min="47" max="47" width="21" customWidth="1"/>
    <col min="48" max="48" width="20" customWidth="1"/>
    <col min="49" max="49" width="18" customWidth="1"/>
    <col min="50" max="50" width="16" customWidth="1"/>
    <col min="51" max="51" width="23" customWidth="1"/>
    <col min="52" max="52" width="33" customWidth="1"/>
    <col min="53" max="53" width="34" customWidth="1"/>
    <col min="54" max="54" width="16" customWidth="1"/>
    <col min="55" max="55" width="20" customWidth="1"/>
    <col min="56" max="56" width="14" customWidth="1"/>
    <col min="57" max="57" width="17" customWidth="1"/>
    <col min="58" max="58" width="15" customWidth="1"/>
    <col min="59" max="59" width="22" customWidth="1"/>
    <col min="60" max="60" width="24" customWidth="1"/>
    <col min="61" max="61" width="14" customWidth="1"/>
    <col min="62" max="62" width="15" customWidth="1"/>
    <col min="63" max="63" width="17" customWidth="1"/>
    <col min="64" max="64" width="15" customWidth="1"/>
    <col min="65" max="65" width="20" customWidth="1"/>
    <col min="66" max="66" width="14" customWidth="1"/>
    <col min="67" max="67" width="17" customWidth="1"/>
    <col min="68" max="68" width="15" customWidth="1"/>
    <col min="69" max="69" width="22" customWidth="1"/>
    <col min="70" max="70" width="24" customWidth="1"/>
    <col min="71" max="71" width="14" customWidth="1"/>
    <col min="72" max="72" width="15" customWidth="1"/>
    <col min="73" max="73" width="17" customWidth="1"/>
    <col min="74" max="74" width="15" customWidth="1"/>
  </cols>
  <sheetData>
    <row r="1" spans="1:74" x14ac:dyDescent="0.25">
      <c r="A1" s="74" t="s">
        <v>632</v>
      </c>
      <c r="B1" s="74" t="s">
        <v>761</v>
      </c>
      <c r="C1" s="74" t="s">
        <v>634</v>
      </c>
      <c r="D1" s="74" t="s">
        <v>851</v>
      </c>
      <c r="E1" s="74" t="s">
        <v>635</v>
      </c>
      <c r="F1" s="74" t="s">
        <v>636</v>
      </c>
      <c r="G1" s="74" t="s">
        <v>637</v>
      </c>
      <c r="H1" s="74" t="s">
        <v>638</v>
      </c>
      <c r="I1" s="74" t="s">
        <v>852</v>
      </c>
      <c r="J1" s="74" t="s">
        <v>853</v>
      </c>
      <c r="K1" s="74" t="s">
        <v>631</v>
      </c>
      <c r="L1" s="74" t="s">
        <v>854</v>
      </c>
      <c r="M1" s="74" t="s">
        <v>762</v>
      </c>
      <c r="N1" s="74" t="s">
        <v>763</v>
      </c>
      <c r="O1" s="74" t="s">
        <v>764</v>
      </c>
      <c r="P1" s="74" t="s">
        <v>855</v>
      </c>
      <c r="Q1" s="74" t="s">
        <v>856</v>
      </c>
      <c r="R1" s="74" t="s">
        <v>765</v>
      </c>
      <c r="S1" s="74" t="s">
        <v>641</v>
      </c>
      <c r="T1" s="74" t="s">
        <v>642</v>
      </c>
      <c r="U1" s="74" t="s">
        <v>766</v>
      </c>
      <c r="V1" s="74" t="s">
        <v>643</v>
      </c>
      <c r="W1" s="74" t="s">
        <v>655</v>
      </c>
      <c r="X1" s="74" t="s">
        <v>857</v>
      </c>
      <c r="Y1" s="74" t="s">
        <v>858</v>
      </c>
      <c r="Z1" s="74" t="s">
        <v>859</v>
      </c>
      <c r="AA1" s="74" t="s">
        <v>860</v>
      </c>
      <c r="AB1" s="74" t="s">
        <v>861</v>
      </c>
      <c r="AC1" s="74" t="s">
        <v>767</v>
      </c>
      <c r="AD1" s="74" t="s">
        <v>768</v>
      </c>
      <c r="AE1" s="74" t="s">
        <v>862</v>
      </c>
      <c r="AF1" s="74" t="s">
        <v>769</v>
      </c>
      <c r="AG1" s="74" t="s">
        <v>770</v>
      </c>
      <c r="AH1" s="74" t="s">
        <v>863</v>
      </c>
      <c r="AI1" s="74" t="s">
        <v>864</v>
      </c>
      <c r="AJ1" s="74" t="s">
        <v>865</v>
      </c>
      <c r="AK1" s="74" t="s">
        <v>866</v>
      </c>
      <c r="AL1" s="74" t="s">
        <v>867</v>
      </c>
      <c r="AM1" s="74" t="s">
        <v>773</v>
      </c>
      <c r="AN1" s="74" t="s">
        <v>657</v>
      </c>
      <c r="AO1" s="74" t="s">
        <v>776</v>
      </c>
      <c r="AP1" s="74" t="s">
        <v>774</v>
      </c>
      <c r="AQ1" s="74" t="s">
        <v>775</v>
      </c>
      <c r="AR1" s="74" t="s">
        <v>868</v>
      </c>
      <c r="AS1" s="74" t="s">
        <v>869</v>
      </c>
      <c r="AT1" s="74" t="s">
        <v>777</v>
      </c>
      <c r="AU1" s="74" t="s">
        <v>778</v>
      </c>
      <c r="AV1" s="74" t="s">
        <v>779</v>
      </c>
      <c r="AW1" s="74" t="s">
        <v>782</v>
      </c>
      <c r="AX1" s="74" t="s">
        <v>780</v>
      </c>
      <c r="AY1" s="74" t="s">
        <v>870</v>
      </c>
      <c r="AZ1" s="74" t="s">
        <v>871</v>
      </c>
      <c r="BA1" s="74" t="s">
        <v>872</v>
      </c>
      <c r="BB1" s="74" t="s">
        <v>783</v>
      </c>
      <c r="BC1" s="74" t="s">
        <v>787</v>
      </c>
      <c r="BD1" s="74" t="s">
        <v>873</v>
      </c>
      <c r="BE1" s="74" t="s">
        <v>874</v>
      </c>
      <c r="BF1" s="74" t="s">
        <v>788</v>
      </c>
      <c r="BG1" s="74" t="s">
        <v>789</v>
      </c>
      <c r="BH1" s="74" t="s">
        <v>790</v>
      </c>
      <c r="BI1" s="74" t="s">
        <v>791</v>
      </c>
      <c r="BJ1" s="74" t="s">
        <v>793</v>
      </c>
      <c r="BK1" s="74" t="s">
        <v>792</v>
      </c>
      <c r="BL1" s="74" t="s">
        <v>795</v>
      </c>
      <c r="BM1" s="74" t="s">
        <v>801</v>
      </c>
      <c r="BN1" s="74" t="s">
        <v>875</v>
      </c>
      <c r="BO1" s="74" t="s">
        <v>876</v>
      </c>
      <c r="BP1" s="74" t="s">
        <v>799</v>
      </c>
      <c r="BQ1" s="74" t="s">
        <v>800</v>
      </c>
      <c r="BR1" s="74" t="s">
        <v>877</v>
      </c>
      <c r="BS1" s="74" t="s">
        <v>878</v>
      </c>
      <c r="BT1" s="74" t="s">
        <v>803</v>
      </c>
      <c r="BU1" s="74" t="s">
        <v>802</v>
      </c>
      <c r="BV1" s="74" t="s">
        <v>805</v>
      </c>
    </row>
    <row r="2" spans="1:74" x14ac:dyDescent="0.25">
      <c r="A2" t="s">
        <v>879</v>
      </c>
      <c r="B2" t="s">
        <v>880</v>
      </c>
      <c r="C2" t="s">
        <v>817</v>
      </c>
      <c r="E2" t="s">
        <v>694</v>
      </c>
      <c r="G2" t="s">
        <v>881</v>
      </c>
      <c r="H2" t="s">
        <v>882</v>
      </c>
      <c r="I2" t="s">
        <v>883</v>
      </c>
      <c r="K2" t="s">
        <v>134</v>
      </c>
      <c r="L2" t="s">
        <v>884</v>
      </c>
      <c r="R2" t="s">
        <v>885</v>
      </c>
      <c r="S2" t="s">
        <v>886</v>
      </c>
      <c r="T2" t="s">
        <v>886</v>
      </c>
      <c r="U2" t="s">
        <v>885</v>
      </c>
      <c r="V2" t="s">
        <v>887</v>
      </c>
      <c r="W2" t="s">
        <v>888</v>
      </c>
      <c r="Y2" t="s">
        <v>889</v>
      </c>
      <c r="AC2" t="s">
        <v>890</v>
      </c>
      <c r="AD2" t="s">
        <v>891</v>
      </c>
      <c r="AE2" t="s">
        <v>697</v>
      </c>
      <c r="AO2" t="s">
        <v>892</v>
      </c>
      <c r="AP2" t="s">
        <v>409</v>
      </c>
      <c r="AQ2" t="s">
        <v>893</v>
      </c>
      <c r="AT2" t="s">
        <v>894</v>
      </c>
      <c r="BC2" t="s">
        <v>895</v>
      </c>
    </row>
    <row r="3" spans="1:74" x14ac:dyDescent="0.25">
      <c r="A3" t="s">
        <v>896</v>
      </c>
      <c r="B3" t="s">
        <v>880</v>
      </c>
      <c r="C3" t="s">
        <v>817</v>
      </c>
      <c r="E3" t="s">
        <v>694</v>
      </c>
      <c r="G3" t="s">
        <v>881</v>
      </c>
      <c r="H3" t="s">
        <v>882</v>
      </c>
      <c r="I3" t="s">
        <v>897</v>
      </c>
      <c r="K3" t="s">
        <v>89</v>
      </c>
      <c r="L3" t="s">
        <v>884</v>
      </c>
      <c r="R3" t="s">
        <v>898</v>
      </c>
      <c r="S3" t="s">
        <v>899</v>
      </c>
      <c r="T3" t="s">
        <v>899</v>
      </c>
      <c r="U3" t="s">
        <v>898</v>
      </c>
      <c r="V3" t="s">
        <v>887</v>
      </c>
      <c r="W3" t="s">
        <v>900</v>
      </c>
      <c r="Y3" t="s">
        <v>889</v>
      </c>
      <c r="AC3" t="s">
        <v>890</v>
      </c>
      <c r="AD3" t="s">
        <v>891</v>
      </c>
      <c r="AE3" t="s">
        <v>697</v>
      </c>
      <c r="AO3" t="s">
        <v>901</v>
      </c>
      <c r="AT3" t="s">
        <v>902</v>
      </c>
      <c r="BC3" t="s">
        <v>895</v>
      </c>
    </row>
    <row r="4" spans="1:74" x14ac:dyDescent="0.25">
      <c r="A4" t="s">
        <v>903</v>
      </c>
      <c r="B4" t="s">
        <v>880</v>
      </c>
      <c r="C4" t="s">
        <v>904</v>
      </c>
      <c r="E4" t="s">
        <v>905</v>
      </c>
      <c r="G4" t="s">
        <v>881</v>
      </c>
      <c r="H4" t="s">
        <v>882</v>
      </c>
      <c r="L4" t="s">
        <v>884</v>
      </c>
      <c r="S4" t="s">
        <v>519</v>
      </c>
      <c r="T4" t="s">
        <v>906</v>
      </c>
      <c r="V4" t="s">
        <v>887</v>
      </c>
      <c r="Y4" t="s">
        <v>889</v>
      </c>
      <c r="AO4" t="s">
        <v>907</v>
      </c>
      <c r="AT4" t="s">
        <v>908</v>
      </c>
      <c r="BC4" t="s">
        <v>895</v>
      </c>
    </row>
    <row r="5" spans="1:74" x14ac:dyDescent="0.25">
      <c r="A5" t="s">
        <v>909</v>
      </c>
      <c r="B5" t="s">
        <v>880</v>
      </c>
      <c r="C5" t="s">
        <v>910</v>
      </c>
      <c r="F5" t="s">
        <v>695</v>
      </c>
      <c r="G5" t="s">
        <v>911</v>
      </c>
      <c r="H5" t="s">
        <v>882</v>
      </c>
      <c r="L5" t="s">
        <v>884</v>
      </c>
      <c r="V5" t="s">
        <v>887</v>
      </c>
      <c r="Y5" t="s">
        <v>889</v>
      </c>
      <c r="AO5" t="s">
        <v>912</v>
      </c>
      <c r="AT5" t="s">
        <v>913</v>
      </c>
      <c r="BC5" t="s">
        <v>895</v>
      </c>
    </row>
    <row r="6" spans="1:74" x14ac:dyDescent="0.25">
      <c r="A6" t="s">
        <v>914</v>
      </c>
      <c r="B6" t="s">
        <v>880</v>
      </c>
      <c r="C6" t="s">
        <v>817</v>
      </c>
      <c r="E6" t="s">
        <v>694</v>
      </c>
      <c r="G6" t="s">
        <v>881</v>
      </c>
      <c r="H6" t="s">
        <v>882</v>
      </c>
      <c r="I6" t="s">
        <v>915</v>
      </c>
      <c r="K6" t="s">
        <v>916</v>
      </c>
      <c r="L6" t="s">
        <v>884</v>
      </c>
      <c r="R6" t="s">
        <v>917</v>
      </c>
      <c r="S6" t="s">
        <v>519</v>
      </c>
      <c r="T6" t="s">
        <v>519</v>
      </c>
      <c r="U6" t="s">
        <v>917</v>
      </c>
      <c r="V6" t="s">
        <v>887</v>
      </c>
      <c r="W6" t="s">
        <v>918</v>
      </c>
      <c r="Y6" t="s">
        <v>889</v>
      </c>
      <c r="AC6" t="s">
        <v>890</v>
      </c>
      <c r="AD6" t="s">
        <v>891</v>
      </c>
      <c r="AE6" t="s">
        <v>697</v>
      </c>
      <c r="AO6" t="s">
        <v>919</v>
      </c>
      <c r="AQ6" t="s">
        <v>920</v>
      </c>
      <c r="AT6" t="s">
        <v>921</v>
      </c>
      <c r="BC6" t="s">
        <v>895</v>
      </c>
    </row>
    <row r="7" spans="1:74" x14ac:dyDescent="0.25">
      <c r="A7" t="s">
        <v>922</v>
      </c>
      <c r="B7" t="s">
        <v>880</v>
      </c>
      <c r="H7" t="s">
        <v>882</v>
      </c>
      <c r="L7" t="s">
        <v>884</v>
      </c>
      <c r="V7" t="s">
        <v>887</v>
      </c>
      <c r="Y7" t="s">
        <v>889</v>
      </c>
      <c r="AM7" t="s">
        <v>923</v>
      </c>
      <c r="AN7" t="s">
        <v>924</v>
      </c>
      <c r="AT7" t="s">
        <v>925</v>
      </c>
      <c r="BC7" t="s">
        <v>895</v>
      </c>
    </row>
    <row r="8" spans="1:74" x14ac:dyDescent="0.25">
      <c r="A8" t="s">
        <v>879</v>
      </c>
      <c r="B8" t="s">
        <v>880</v>
      </c>
      <c r="C8" t="s">
        <v>817</v>
      </c>
      <c r="E8" t="s">
        <v>694</v>
      </c>
      <c r="G8" t="s">
        <v>881</v>
      </c>
      <c r="H8" t="s">
        <v>882</v>
      </c>
      <c r="I8" t="s">
        <v>926</v>
      </c>
      <c r="K8" t="s">
        <v>134</v>
      </c>
      <c r="L8" t="s">
        <v>884</v>
      </c>
      <c r="R8" t="s">
        <v>891</v>
      </c>
      <c r="S8" t="s">
        <v>522</v>
      </c>
      <c r="T8" t="s">
        <v>522</v>
      </c>
      <c r="U8" t="s">
        <v>891</v>
      </c>
      <c r="V8" t="s">
        <v>887</v>
      </c>
      <c r="W8" t="s">
        <v>927</v>
      </c>
      <c r="Y8" t="s">
        <v>889</v>
      </c>
      <c r="AC8" t="s">
        <v>890</v>
      </c>
      <c r="AD8" t="s">
        <v>891</v>
      </c>
      <c r="AE8" t="s">
        <v>697</v>
      </c>
      <c r="AO8" t="s">
        <v>928</v>
      </c>
      <c r="AT8" t="s">
        <v>929</v>
      </c>
      <c r="BC8" t="s">
        <v>895</v>
      </c>
    </row>
    <row r="9" spans="1:74" x14ac:dyDescent="0.25">
      <c r="A9" t="s">
        <v>930</v>
      </c>
      <c r="B9" t="s">
        <v>880</v>
      </c>
      <c r="C9" t="s">
        <v>817</v>
      </c>
      <c r="E9" t="s">
        <v>694</v>
      </c>
      <c r="G9" t="s">
        <v>881</v>
      </c>
      <c r="H9" t="s">
        <v>882</v>
      </c>
      <c r="I9" t="s">
        <v>915</v>
      </c>
      <c r="K9" t="s">
        <v>298</v>
      </c>
      <c r="L9" t="s">
        <v>884</v>
      </c>
      <c r="R9" t="s">
        <v>885</v>
      </c>
      <c r="S9" t="s">
        <v>525</v>
      </c>
      <c r="T9" t="s">
        <v>525</v>
      </c>
      <c r="U9" t="s">
        <v>885</v>
      </c>
      <c r="V9" t="s">
        <v>887</v>
      </c>
      <c r="W9" t="s">
        <v>931</v>
      </c>
      <c r="Y9" t="s">
        <v>889</v>
      </c>
      <c r="AC9" t="s">
        <v>890</v>
      </c>
      <c r="AD9" t="s">
        <v>891</v>
      </c>
      <c r="AE9" t="s">
        <v>697</v>
      </c>
      <c r="AO9" t="s">
        <v>932</v>
      </c>
      <c r="AT9" t="s">
        <v>933</v>
      </c>
      <c r="BC9" t="s">
        <v>895</v>
      </c>
    </row>
    <row r="10" spans="1:74" x14ac:dyDescent="0.25">
      <c r="A10" t="s">
        <v>934</v>
      </c>
      <c r="B10" t="s">
        <v>880</v>
      </c>
      <c r="C10" t="s">
        <v>817</v>
      </c>
      <c r="E10" t="s">
        <v>694</v>
      </c>
      <c r="G10" t="s">
        <v>881</v>
      </c>
      <c r="H10" t="s">
        <v>882</v>
      </c>
      <c r="I10" t="s">
        <v>935</v>
      </c>
      <c r="K10" t="s">
        <v>147</v>
      </c>
      <c r="L10" t="s">
        <v>884</v>
      </c>
      <c r="O10">
        <v>4340</v>
      </c>
      <c r="R10" t="s">
        <v>891</v>
      </c>
      <c r="S10" t="s">
        <v>528</v>
      </c>
      <c r="T10" t="s">
        <v>528</v>
      </c>
      <c r="U10" t="s">
        <v>891</v>
      </c>
      <c r="V10" t="s">
        <v>887</v>
      </c>
      <c r="W10" t="s">
        <v>936</v>
      </c>
      <c r="Y10" t="s">
        <v>889</v>
      </c>
      <c r="AC10" t="s">
        <v>890</v>
      </c>
      <c r="AD10" t="s">
        <v>891</v>
      </c>
      <c r="AE10" t="s">
        <v>697</v>
      </c>
      <c r="AO10" t="s">
        <v>937</v>
      </c>
      <c r="AP10" t="s">
        <v>316</v>
      </c>
      <c r="AQ10" t="s">
        <v>938</v>
      </c>
      <c r="AT10" t="s">
        <v>939</v>
      </c>
      <c r="BC10" t="s">
        <v>895</v>
      </c>
    </row>
    <row r="11" spans="1:74" x14ac:dyDescent="0.25">
      <c r="A11" t="s">
        <v>940</v>
      </c>
      <c r="B11" t="s">
        <v>880</v>
      </c>
      <c r="C11" t="s">
        <v>941</v>
      </c>
      <c r="E11" t="s">
        <v>942</v>
      </c>
      <c r="G11" t="s">
        <v>943</v>
      </c>
      <c r="H11" t="s">
        <v>882</v>
      </c>
      <c r="L11" t="s">
        <v>884</v>
      </c>
      <c r="O11">
        <v>1769</v>
      </c>
      <c r="R11" t="s">
        <v>944</v>
      </c>
      <c r="S11" t="s">
        <v>945</v>
      </c>
      <c r="T11" t="s">
        <v>945</v>
      </c>
      <c r="U11" t="s">
        <v>944</v>
      </c>
      <c r="V11" t="s">
        <v>887</v>
      </c>
      <c r="W11" t="s">
        <v>946</v>
      </c>
      <c r="Y11" t="s">
        <v>889</v>
      </c>
      <c r="AC11" t="s">
        <v>890</v>
      </c>
      <c r="AD11" t="s">
        <v>891</v>
      </c>
      <c r="AE11" t="s">
        <v>697</v>
      </c>
      <c r="AO11" t="s">
        <v>947</v>
      </c>
      <c r="AT11" t="s">
        <v>948</v>
      </c>
      <c r="BC11" t="s">
        <v>895</v>
      </c>
    </row>
    <row r="12" spans="1:74" x14ac:dyDescent="0.25">
      <c r="A12" t="s">
        <v>949</v>
      </c>
      <c r="B12" t="s">
        <v>880</v>
      </c>
      <c r="C12" t="s">
        <v>817</v>
      </c>
      <c r="E12" t="s">
        <v>694</v>
      </c>
      <c r="G12" t="s">
        <v>881</v>
      </c>
      <c r="H12" t="s">
        <v>882</v>
      </c>
      <c r="I12" t="s">
        <v>950</v>
      </c>
      <c r="K12" t="s">
        <v>106</v>
      </c>
      <c r="L12" t="s">
        <v>884</v>
      </c>
      <c r="R12" t="s">
        <v>885</v>
      </c>
      <c r="S12" t="s">
        <v>951</v>
      </c>
      <c r="T12" t="s">
        <v>951</v>
      </c>
      <c r="U12" t="s">
        <v>885</v>
      </c>
      <c r="V12" t="s">
        <v>887</v>
      </c>
      <c r="W12" t="s">
        <v>952</v>
      </c>
      <c r="Y12" t="s">
        <v>889</v>
      </c>
      <c r="AC12" t="s">
        <v>890</v>
      </c>
      <c r="AD12" t="s">
        <v>891</v>
      </c>
      <c r="AE12" t="s">
        <v>697</v>
      </c>
      <c r="AO12" t="s">
        <v>953</v>
      </c>
      <c r="AT12" t="s">
        <v>954</v>
      </c>
      <c r="BC12" t="s">
        <v>895</v>
      </c>
    </row>
    <row r="13" spans="1:74" x14ac:dyDescent="0.25">
      <c r="A13" t="s">
        <v>955</v>
      </c>
      <c r="B13" t="s">
        <v>880</v>
      </c>
      <c r="H13" t="s">
        <v>882</v>
      </c>
      <c r="K13" t="s">
        <v>106</v>
      </c>
      <c r="L13" t="s">
        <v>884</v>
      </c>
      <c r="O13">
        <v>1974</v>
      </c>
      <c r="R13" t="s">
        <v>956</v>
      </c>
      <c r="S13" t="s">
        <v>957</v>
      </c>
      <c r="T13" t="s">
        <v>539</v>
      </c>
      <c r="U13" t="s">
        <v>956</v>
      </c>
      <c r="V13" t="s">
        <v>887</v>
      </c>
      <c r="Y13" t="s">
        <v>889</v>
      </c>
      <c r="AO13" t="s">
        <v>958</v>
      </c>
      <c r="AT13" t="s">
        <v>959</v>
      </c>
      <c r="BC13" t="s">
        <v>895</v>
      </c>
    </row>
    <row r="14" spans="1:74" x14ac:dyDescent="0.25">
      <c r="A14" t="s">
        <v>960</v>
      </c>
      <c r="B14" t="s">
        <v>880</v>
      </c>
      <c r="C14" t="s">
        <v>961</v>
      </c>
      <c r="E14" t="s">
        <v>962</v>
      </c>
      <c r="G14" t="s">
        <v>881</v>
      </c>
      <c r="H14" t="s">
        <v>882</v>
      </c>
      <c r="I14" t="s">
        <v>963</v>
      </c>
      <c r="K14" t="s">
        <v>134</v>
      </c>
      <c r="L14" t="s">
        <v>884</v>
      </c>
      <c r="R14" t="s">
        <v>885</v>
      </c>
      <c r="S14" t="s">
        <v>964</v>
      </c>
      <c r="T14" t="s">
        <v>964</v>
      </c>
      <c r="U14" t="s">
        <v>885</v>
      </c>
      <c r="V14" t="s">
        <v>887</v>
      </c>
      <c r="W14" t="s">
        <v>965</v>
      </c>
      <c r="Y14" t="s">
        <v>889</v>
      </c>
      <c r="AC14" t="s">
        <v>890</v>
      </c>
      <c r="AD14" t="s">
        <v>891</v>
      </c>
      <c r="AE14" t="s">
        <v>697</v>
      </c>
      <c r="AO14" t="s">
        <v>966</v>
      </c>
      <c r="AT14" t="s">
        <v>967</v>
      </c>
      <c r="BC14" t="s">
        <v>895</v>
      </c>
    </row>
    <row r="15" spans="1:74" x14ac:dyDescent="0.25">
      <c r="A15" t="s">
        <v>879</v>
      </c>
      <c r="B15" t="s">
        <v>880</v>
      </c>
      <c r="C15" t="s">
        <v>817</v>
      </c>
      <c r="E15" t="s">
        <v>694</v>
      </c>
      <c r="G15" t="s">
        <v>881</v>
      </c>
      <c r="H15" t="s">
        <v>882</v>
      </c>
      <c r="I15" t="s">
        <v>963</v>
      </c>
      <c r="K15" t="s">
        <v>134</v>
      </c>
      <c r="L15" t="s">
        <v>884</v>
      </c>
      <c r="R15" t="s">
        <v>885</v>
      </c>
      <c r="S15" t="s">
        <v>964</v>
      </c>
      <c r="T15" t="s">
        <v>964</v>
      </c>
      <c r="U15" t="s">
        <v>885</v>
      </c>
      <c r="V15" t="s">
        <v>887</v>
      </c>
      <c r="W15" t="s">
        <v>965</v>
      </c>
      <c r="Y15" t="s">
        <v>889</v>
      </c>
      <c r="AC15" t="s">
        <v>890</v>
      </c>
      <c r="AD15" t="s">
        <v>891</v>
      </c>
      <c r="AE15" t="s">
        <v>697</v>
      </c>
      <c r="AO15" t="s">
        <v>966</v>
      </c>
      <c r="AT15" t="s">
        <v>968</v>
      </c>
      <c r="BC15" t="s">
        <v>895</v>
      </c>
    </row>
    <row r="16" spans="1:74" x14ac:dyDescent="0.25">
      <c r="A16" t="s">
        <v>969</v>
      </c>
      <c r="B16" t="s">
        <v>880</v>
      </c>
      <c r="C16" t="s">
        <v>970</v>
      </c>
      <c r="E16" t="s">
        <v>694</v>
      </c>
      <c r="G16" t="s">
        <v>971</v>
      </c>
      <c r="H16" t="s">
        <v>882</v>
      </c>
      <c r="I16" t="s">
        <v>972</v>
      </c>
      <c r="K16" t="s">
        <v>111</v>
      </c>
      <c r="L16" t="s">
        <v>884</v>
      </c>
      <c r="R16" t="s">
        <v>891</v>
      </c>
      <c r="S16" t="s">
        <v>973</v>
      </c>
      <c r="T16" t="s">
        <v>973</v>
      </c>
      <c r="U16" t="s">
        <v>891</v>
      </c>
      <c r="V16" t="s">
        <v>887</v>
      </c>
      <c r="W16" t="s">
        <v>974</v>
      </c>
      <c r="Y16" t="s">
        <v>889</v>
      </c>
      <c r="AC16" t="s">
        <v>890</v>
      </c>
      <c r="AD16" t="s">
        <v>891</v>
      </c>
      <c r="AE16" t="s">
        <v>697</v>
      </c>
      <c r="AO16" t="s">
        <v>975</v>
      </c>
      <c r="AP16" t="s">
        <v>409</v>
      </c>
      <c r="AQ16" t="s">
        <v>976</v>
      </c>
      <c r="AT16" t="s">
        <v>977</v>
      </c>
      <c r="BC16" t="s">
        <v>895</v>
      </c>
    </row>
    <row r="17" spans="1:55" x14ac:dyDescent="0.25">
      <c r="A17" t="s">
        <v>978</v>
      </c>
      <c r="B17" t="s">
        <v>880</v>
      </c>
      <c r="C17" t="s">
        <v>979</v>
      </c>
      <c r="E17" t="s">
        <v>694</v>
      </c>
      <c r="G17" t="s">
        <v>881</v>
      </c>
      <c r="H17" t="s">
        <v>882</v>
      </c>
      <c r="I17" t="s">
        <v>980</v>
      </c>
      <c r="K17" t="s">
        <v>358</v>
      </c>
      <c r="L17" t="s">
        <v>884</v>
      </c>
      <c r="R17" t="s">
        <v>981</v>
      </c>
      <c r="S17" t="s">
        <v>547</v>
      </c>
      <c r="T17" t="s">
        <v>547</v>
      </c>
      <c r="U17" t="s">
        <v>981</v>
      </c>
      <c r="V17" t="s">
        <v>887</v>
      </c>
      <c r="W17" t="s">
        <v>982</v>
      </c>
      <c r="Y17" t="s">
        <v>889</v>
      </c>
      <c r="AC17" t="s">
        <v>890</v>
      </c>
      <c r="AD17" t="s">
        <v>891</v>
      </c>
      <c r="AE17" t="s">
        <v>697</v>
      </c>
      <c r="AO17" t="s">
        <v>983</v>
      </c>
      <c r="AQ17" t="s">
        <v>976</v>
      </c>
      <c r="AT17" t="s">
        <v>984</v>
      </c>
      <c r="BC17" t="s">
        <v>895</v>
      </c>
    </row>
    <row r="18" spans="1:55" x14ac:dyDescent="0.25">
      <c r="A18" t="s">
        <v>985</v>
      </c>
      <c r="B18" t="s">
        <v>880</v>
      </c>
      <c r="C18" t="s">
        <v>986</v>
      </c>
      <c r="E18" t="s">
        <v>694</v>
      </c>
      <c r="G18" t="s">
        <v>881</v>
      </c>
      <c r="H18" t="s">
        <v>882</v>
      </c>
      <c r="I18" t="s">
        <v>987</v>
      </c>
      <c r="K18" t="s">
        <v>152</v>
      </c>
      <c r="L18" t="s">
        <v>884</v>
      </c>
      <c r="O18">
        <v>4273</v>
      </c>
      <c r="R18" t="s">
        <v>891</v>
      </c>
      <c r="S18" t="s">
        <v>547</v>
      </c>
      <c r="T18" t="s">
        <v>547</v>
      </c>
      <c r="U18" t="s">
        <v>891</v>
      </c>
      <c r="V18" t="s">
        <v>887</v>
      </c>
      <c r="W18" t="s">
        <v>988</v>
      </c>
      <c r="Y18" t="s">
        <v>889</v>
      </c>
      <c r="AC18" t="s">
        <v>890</v>
      </c>
      <c r="AD18" t="s">
        <v>891</v>
      </c>
      <c r="AE18" t="s">
        <v>697</v>
      </c>
      <c r="AO18" t="s">
        <v>989</v>
      </c>
      <c r="AQ18" t="s">
        <v>976</v>
      </c>
      <c r="AT18" t="s">
        <v>990</v>
      </c>
      <c r="BC18" t="s">
        <v>895</v>
      </c>
    </row>
    <row r="19" spans="1:55" x14ac:dyDescent="0.25">
      <c r="A19" t="s">
        <v>991</v>
      </c>
      <c r="B19" t="s">
        <v>880</v>
      </c>
      <c r="C19" t="s">
        <v>992</v>
      </c>
      <c r="E19" t="s">
        <v>993</v>
      </c>
      <c r="G19" t="s">
        <v>943</v>
      </c>
      <c r="H19" t="s">
        <v>882</v>
      </c>
      <c r="I19" t="s">
        <v>994</v>
      </c>
      <c r="K19" t="s">
        <v>157</v>
      </c>
      <c r="L19" t="s">
        <v>884</v>
      </c>
      <c r="O19">
        <v>5000</v>
      </c>
      <c r="R19" t="s">
        <v>891</v>
      </c>
      <c r="S19" t="s">
        <v>995</v>
      </c>
      <c r="T19" t="s">
        <v>995</v>
      </c>
      <c r="U19" t="s">
        <v>891</v>
      </c>
      <c r="V19" t="s">
        <v>887</v>
      </c>
      <c r="W19" t="s">
        <v>996</v>
      </c>
      <c r="Y19" t="s">
        <v>889</v>
      </c>
      <c r="AC19" t="s">
        <v>890</v>
      </c>
      <c r="AD19" t="s">
        <v>891</v>
      </c>
      <c r="AE19" t="s">
        <v>697</v>
      </c>
      <c r="AO19" t="s">
        <v>997</v>
      </c>
      <c r="AP19" t="s">
        <v>409</v>
      </c>
      <c r="AQ19" t="s">
        <v>976</v>
      </c>
      <c r="AT19" t="s">
        <v>998</v>
      </c>
      <c r="BC19" t="s">
        <v>895</v>
      </c>
    </row>
    <row r="20" spans="1:55" x14ac:dyDescent="0.25">
      <c r="A20" t="s">
        <v>999</v>
      </c>
      <c r="B20" t="s">
        <v>880</v>
      </c>
      <c r="C20" t="s">
        <v>1000</v>
      </c>
      <c r="E20" t="s">
        <v>1001</v>
      </c>
      <c r="G20" t="s">
        <v>1002</v>
      </c>
      <c r="H20" t="s">
        <v>882</v>
      </c>
      <c r="I20" t="s">
        <v>1003</v>
      </c>
      <c r="K20" t="s">
        <v>166</v>
      </c>
      <c r="L20" t="s">
        <v>884</v>
      </c>
      <c r="R20" t="s">
        <v>891</v>
      </c>
      <c r="S20" t="s">
        <v>1004</v>
      </c>
      <c r="T20" t="s">
        <v>1004</v>
      </c>
      <c r="U20" t="s">
        <v>891</v>
      </c>
      <c r="V20" t="s">
        <v>887</v>
      </c>
      <c r="W20" t="s">
        <v>1005</v>
      </c>
      <c r="Y20" t="s">
        <v>889</v>
      </c>
      <c r="AC20" t="s">
        <v>890</v>
      </c>
      <c r="AD20" t="s">
        <v>891</v>
      </c>
      <c r="AE20" t="s">
        <v>697</v>
      </c>
      <c r="AO20" t="s">
        <v>1006</v>
      </c>
      <c r="AP20" t="s">
        <v>409</v>
      </c>
      <c r="AQ20" t="s">
        <v>1007</v>
      </c>
      <c r="AT20" t="s">
        <v>1008</v>
      </c>
      <c r="BC20" t="s">
        <v>895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36"/>
  <sheetViews>
    <sheetView workbookViewId="0"/>
  </sheetViews>
  <sheetFormatPr defaultColWidth="61.42578125" defaultRowHeight="18.75" x14ac:dyDescent="0.3"/>
  <cols>
    <col min="1" max="1" width="25.5703125" style="85" customWidth="1"/>
    <col min="2" max="2" width="35.5703125" style="85" customWidth="1"/>
    <col min="3" max="3" width="24.140625" style="85" customWidth="1"/>
    <col min="4" max="4" width="35.42578125" style="86" customWidth="1"/>
    <col min="5" max="5" width="61.42578125" style="85" customWidth="1"/>
    <col min="6" max="16384" width="61.42578125" style="85"/>
  </cols>
  <sheetData>
    <row r="1" spans="1:4" s="96" customFormat="1" ht="21.75" customHeight="1" x14ac:dyDescent="0.3">
      <c r="A1" s="98" t="s">
        <v>77</v>
      </c>
      <c r="B1" s="98" t="s">
        <v>1009</v>
      </c>
      <c r="C1" s="98"/>
      <c r="D1" s="97" t="s">
        <v>1010</v>
      </c>
    </row>
    <row r="2" spans="1:4" ht="21.75" customHeight="1" x14ac:dyDescent="0.3">
      <c r="A2" s="95"/>
      <c r="B2" s="95"/>
      <c r="C2" s="95"/>
      <c r="D2" s="90"/>
    </row>
    <row r="3" spans="1:4" ht="21.75" customHeight="1" x14ac:dyDescent="0.3">
      <c r="A3" s="94">
        <v>101</v>
      </c>
      <c r="B3" s="92" t="s">
        <v>232</v>
      </c>
      <c r="C3" s="91">
        <v>6877</v>
      </c>
      <c r="D3" s="90"/>
    </row>
    <row r="4" spans="1:4" ht="21.75" customHeight="1" x14ac:dyDescent="0.3">
      <c r="A4" s="94">
        <v>103</v>
      </c>
      <c r="B4" s="92" t="s">
        <v>232</v>
      </c>
      <c r="C4" s="91">
        <v>3051</v>
      </c>
      <c r="D4" s="90"/>
    </row>
    <row r="5" spans="1:4" ht="21.75" customHeight="1" x14ac:dyDescent="0.3">
      <c r="A5" s="93">
        <v>105</v>
      </c>
      <c r="B5" s="92" t="s">
        <v>251</v>
      </c>
      <c r="C5" s="91">
        <v>2222</v>
      </c>
      <c r="D5" s="90"/>
    </row>
    <row r="6" spans="1:4" ht="21.75" customHeight="1" x14ac:dyDescent="0.3">
      <c r="A6" s="93">
        <v>107</v>
      </c>
      <c r="B6" s="92" t="s">
        <v>266</v>
      </c>
      <c r="C6" s="91">
        <v>1743</v>
      </c>
      <c r="D6" s="90"/>
    </row>
    <row r="7" spans="1:4" ht="21.75" customHeight="1" x14ac:dyDescent="0.3">
      <c r="A7" s="93">
        <v>109</v>
      </c>
      <c r="B7" s="92" t="s">
        <v>278</v>
      </c>
      <c r="C7" s="91">
        <v>2546</v>
      </c>
      <c r="D7" s="90"/>
    </row>
    <row r="8" spans="1:4" ht="21.75" customHeight="1" x14ac:dyDescent="0.3">
      <c r="A8" s="93">
        <v>111</v>
      </c>
      <c r="B8" s="92" t="s">
        <v>288</v>
      </c>
      <c r="C8" s="91">
        <v>1690</v>
      </c>
      <c r="D8" s="90"/>
    </row>
    <row r="9" spans="1:4" ht="21.75" customHeight="1" x14ac:dyDescent="0.3">
      <c r="A9" s="93">
        <v>113</v>
      </c>
      <c r="B9" s="92" t="s">
        <v>299</v>
      </c>
      <c r="C9" s="91">
        <v>2606</v>
      </c>
      <c r="D9" s="90"/>
    </row>
    <row r="10" spans="1:4" ht="21.75" customHeight="1" x14ac:dyDescent="0.3">
      <c r="A10" s="93">
        <v>115</v>
      </c>
      <c r="B10" s="92" t="s">
        <v>309</v>
      </c>
      <c r="C10" s="91">
        <v>2170</v>
      </c>
      <c r="D10" s="90"/>
    </row>
    <row r="11" spans="1:4" ht="21.75" customHeight="1" x14ac:dyDescent="0.3">
      <c r="A11" s="93">
        <v>117</v>
      </c>
      <c r="B11" s="92" t="s">
        <v>309</v>
      </c>
      <c r="C11" s="91">
        <v>2170</v>
      </c>
      <c r="D11" s="90"/>
    </row>
    <row r="12" spans="1:4" ht="21.75" customHeight="1" x14ac:dyDescent="0.3">
      <c r="A12" s="94" t="s">
        <v>103</v>
      </c>
      <c r="B12" s="92" t="s">
        <v>320</v>
      </c>
      <c r="C12" s="91">
        <v>1769</v>
      </c>
      <c r="D12" s="90"/>
    </row>
    <row r="13" spans="1:4" ht="21.75" customHeight="1" x14ac:dyDescent="0.3">
      <c r="A13" s="93">
        <v>119</v>
      </c>
      <c r="B13" s="92" t="s">
        <v>327</v>
      </c>
      <c r="C13" s="91">
        <v>1982</v>
      </c>
      <c r="D13" s="90"/>
    </row>
    <row r="14" spans="1:4" ht="21.75" customHeight="1" x14ac:dyDescent="0.3">
      <c r="A14" s="94" t="s">
        <v>109</v>
      </c>
      <c r="B14" s="92" t="s">
        <v>337</v>
      </c>
      <c r="C14" s="91">
        <v>1974</v>
      </c>
      <c r="D14" s="90"/>
    </row>
    <row r="15" spans="1:4" ht="21.75" customHeight="1" x14ac:dyDescent="0.3">
      <c r="A15" s="93">
        <v>121</v>
      </c>
      <c r="B15" s="92" t="s">
        <v>349</v>
      </c>
      <c r="C15" s="91">
        <v>1709</v>
      </c>
      <c r="D15" s="90"/>
    </row>
    <row r="16" spans="1:4" ht="21.75" customHeight="1" x14ac:dyDescent="0.3">
      <c r="A16" s="93">
        <v>123</v>
      </c>
      <c r="B16" s="92" t="s">
        <v>546</v>
      </c>
      <c r="C16" s="91">
        <v>3563</v>
      </c>
      <c r="D16" s="90"/>
    </row>
    <row r="17" spans="1:4" ht="21.75" customHeight="1" x14ac:dyDescent="0.3">
      <c r="A17" s="93">
        <v>125</v>
      </c>
      <c r="B17" s="92" t="s">
        <v>367</v>
      </c>
      <c r="C17" s="91">
        <v>1735</v>
      </c>
      <c r="D17" s="90"/>
    </row>
    <row r="18" spans="1:4" ht="21.75" customHeight="1" x14ac:dyDescent="0.3">
      <c r="A18" s="94">
        <v>127</v>
      </c>
      <c r="B18" s="92" t="s">
        <v>367</v>
      </c>
      <c r="C18" s="91">
        <v>2538</v>
      </c>
      <c r="D18" s="90"/>
    </row>
    <row r="19" spans="1:4" ht="21.75" customHeight="1" x14ac:dyDescent="0.3">
      <c r="A19" s="93">
        <v>129</v>
      </c>
      <c r="B19" s="92" t="s">
        <v>552</v>
      </c>
      <c r="C19" s="91">
        <v>1789</v>
      </c>
      <c r="D19" s="90"/>
    </row>
    <row r="20" spans="1:4" ht="21.75" customHeight="1" x14ac:dyDescent="0.3">
      <c r="A20" s="94">
        <v>131</v>
      </c>
      <c r="B20" s="92" t="s">
        <v>385</v>
      </c>
      <c r="C20" s="91">
        <v>1907</v>
      </c>
      <c r="D20" s="90"/>
    </row>
    <row r="21" spans="1:4" ht="21.75" customHeight="1" x14ac:dyDescent="0.3">
      <c r="A21" s="94">
        <v>133</v>
      </c>
      <c r="B21" s="92" t="s">
        <v>385</v>
      </c>
      <c r="C21" s="91">
        <v>1272</v>
      </c>
      <c r="D21" s="90"/>
    </row>
    <row r="22" spans="1:4" ht="21.75" customHeight="1" x14ac:dyDescent="0.3">
      <c r="A22" s="94" t="s">
        <v>166</v>
      </c>
      <c r="B22" s="92" t="s">
        <v>392</v>
      </c>
      <c r="C22" s="91">
        <v>1580</v>
      </c>
      <c r="D22" s="90"/>
    </row>
    <row r="23" spans="1:4" ht="21.75" customHeight="1" x14ac:dyDescent="0.3">
      <c r="A23" s="94" t="s">
        <v>402</v>
      </c>
      <c r="B23" s="92" t="s">
        <v>403</v>
      </c>
      <c r="C23" s="91">
        <v>1580</v>
      </c>
      <c r="D23" s="90"/>
    </row>
    <row r="24" spans="1:4" ht="21.75" customHeight="1" x14ac:dyDescent="0.3">
      <c r="A24" s="93">
        <v>137</v>
      </c>
      <c r="B24" s="92" t="s">
        <v>412</v>
      </c>
      <c r="C24" s="91">
        <v>2053</v>
      </c>
      <c r="D24" s="90"/>
    </row>
    <row r="25" spans="1:4" ht="21.75" customHeight="1" x14ac:dyDescent="0.3">
      <c r="A25" s="93">
        <v>139</v>
      </c>
      <c r="B25" s="92" t="s">
        <v>420</v>
      </c>
      <c r="C25" s="91">
        <v>1917</v>
      </c>
      <c r="D25" s="90"/>
    </row>
    <row r="26" spans="1:4" ht="21.75" customHeight="1" x14ac:dyDescent="0.3">
      <c r="A26" s="94">
        <v>141</v>
      </c>
      <c r="B26" s="92" t="s">
        <v>420</v>
      </c>
      <c r="C26" s="91">
        <v>1917</v>
      </c>
      <c r="D26" s="90"/>
    </row>
    <row r="27" spans="1:4" ht="21.75" customHeight="1" x14ac:dyDescent="0.3">
      <c r="A27" s="93">
        <v>143</v>
      </c>
      <c r="B27" s="92" t="s">
        <v>429</v>
      </c>
      <c r="C27" s="91">
        <v>1917</v>
      </c>
      <c r="D27" s="90"/>
    </row>
    <row r="28" spans="1:4" ht="21.75" customHeight="1" x14ac:dyDescent="0.3">
      <c r="A28" s="93">
        <v>145</v>
      </c>
      <c r="B28" s="92" t="s">
        <v>1011</v>
      </c>
      <c r="C28" s="91">
        <v>1917</v>
      </c>
      <c r="D28" s="90"/>
    </row>
    <row r="29" spans="1:4" ht="21.75" customHeight="1" x14ac:dyDescent="0.3">
      <c r="A29" s="93">
        <v>149</v>
      </c>
      <c r="B29" s="92" t="s">
        <v>443</v>
      </c>
      <c r="C29" s="91">
        <v>4613</v>
      </c>
      <c r="D29" s="90"/>
    </row>
    <row r="30" spans="1:4" ht="21.75" customHeight="1" x14ac:dyDescent="0.3">
      <c r="A30" s="94"/>
      <c r="B30" s="92"/>
      <c r="C30" s="91"/>
      <c r="D30" s="90"/>
    </row>
    <row r="31" spans="1:4" ht="21.75" customHeight="1" x14ac:dyDescent="0.3">
      <c r="A31" s="94" t="s">
        <v>470</v>
      </c>
      <c r="B31" s="92" t="s">
        <v>471</v>
      </c>
      <c r="C31" s="91"/>
      <c r="D31" s="90"/>
    </row>
    <row r="32" spans="1:4" ht="21.75" customHeight="1" x14ac:dyDescent="0.3">
      <c r="A32" s="94" t="s">
        <v>470</v>
      </c>
      <c r="B32" s="92" t="s">
        <v>474</v>
      </c>
      <c r="C32" s="91"/>
      <c r="D32" s="90"/>
    </row>
    <row r="33" spans="1:4" ht="21.75" customHeight="1" x14ac:dyDescent="0.3">
      <c r="A33" s="93"/>
      <c r="B33" s="92"/>
      <c r="C33" s="91"/>
      <c r="D33" s="90"/>
    </row>
    <row r="34" spans="1:4" ht="21.75" customHeight="1" x14ac:dyDescent="0.3">
      <c r="A34" s="93"/>
      <c r="B34" s="92"/>
      <c r="C34" s="91"/>
      <c r="D34" s="90"/>
    </row>
    <row r="35" spans="1:4" ht="21.75" customHeight="1" x14ac:dyDescent="0.3">
      <c r="A35" s="93"/>
      <c r="B35" s="92"/>
      <c r="C35" s="91"/>
      <c r="D35" s="90"/>
    </row>
    <row r="36" spans="1:4" ht="21.75" customHeight="1" x14ac:dyDescent="0.3">
      <c r="A36" s="89"/>
      <c r="B36" s="88"/>
      <c r="C36" s="8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1"/>
  <sheetViews>
    <sheetView workbookViewId="0"/>
  </sheetViews>
  <sheetFormatPr defaultRowHeight="15" x14ac:dyDescent="0.25"/>
  <cols>
    <col min="1" max="2" width="42" customWidth="1"/>
  </cols>
  <sheetData>
    <row r="1" spans="1:2" x14ac:dyDescent="0.25">
      <c r="A1" s="111" t="s">
        <v>1012</v>
      </c>
      <c r="B1" s="111" t="s">
        <v>1013</v>
      </c>
    </row>
    <row r="2" spans="1:2" ht="30" x14ac:dyDescent="0.25">
      <c r="A2" s="103" t="s">
        <v>1014</v>
      </c>
      <c r="B2" s="103" t="s">
        <v>1015</v>
      </c>
    </row>
    <row r="3" spans="1:2" ht="30" x14ac:dyDescent="0.25">
      <c r="A3" s="103" t="s">
        <v>1016</v>
      </c>
      <c r="B3" s="103" t="s">
        <v>1017</v>
      </c>
    </row>
    <row r="4" spans="1:2" ht="45" x14ac:dyDescent="0.25">
      <c r="A4" s="103" t="s">
        <v>1018</v>
      </c>
      <c r="B4" s="103" t="s">
        <v>1019</v>
      </c>
    </row>
    <row r="5" spans="1:2" ht="45" x14ac:dyDescent="0.25">
      <c r="A5" s="103" t="s">
        <v>1020</v>
      </c>
      <c r="B5" s="103" t="s">
        <v>1021</v>
      </c>
    </row>
    <row r="6" spans="1:2" ht="30" x14ac:dyDescent="0.25">
      <c r="A6" s="103" t="s">
        <v>1022</v>
      </c>
      <c r="B6" s="103" t="s">
        <v>1023</v>
      </c>
    </row>
    <row r="7" spans="1:2" ht="30" x14ac:dyDescent="0.25">
      <c r="A7" s="103" t="s">
        <v>1022</v>
      </c>
      <c r="B7" s="103" t="s">
        <v>1024</v>
      </c>
    </row>
    <row r="8" spans="1:2" ht="30" x14ac:dyDescent="0.25">
      <c r="A8" s="103" t="s">
        <v>443</v>
      </c>
      <c r="B8" s="103" t="s">
        <v>1025</v>
      </c>
    </row>
    <row r="9" spans="1:2" ht="30" x14ac:dyDescent="0.25">
      <c r="A9" s="103" t="s">
        <v>1026</v>
      </c>
      <c r="B9" s="103" t="s">
        <v>1027</v>
      </c>
    </row>
    <row r="10" spans="1:2" ht="30" x14ac:dyDescent="0.25">
      <c r="A10" s="103" t="s">
        <v>1028</v>
      </c>
      <c r="B10" s="103" t="s">
        <v>1029</v>
      </c>
    </row>
    <row r="11" spans="1:2" ht="45" x14ac:dyDescent="0.25">
      <c r="A11" s="103" t="s">
        <v>1030</v>
      </c>
      <c r="B11" s="103" t="s">
        <v>1031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5"/>
  <sheetViews>
    <sheetView workbookViewId="0"/>
  </sheetViews>
  <sheetFormatPr defaultRowHeight="15" x14ac:dyDescent="0.25"/>
  <cols>
    <col min="1" max="1" width="16" customWidth="1"/>
    <col min="2" max="2" width="26" customWidth="1"/>
    <col min="3" max="16" width="16" customWidth="1"/>
    <col min="17" max="17" width="48" customWidth="1"/>
  </cols>
  <sheetData>
    <row r="1" spans="1:17" ht="30" x14ac:dyDescent="0.25">
      <c r="A1" s="111" t="s">
        <v>1032</v>
      </c>
      <c r="B1" s="111" t="s">
        <v>1009</v>
      </c>
      <c r="C1" s="111" t="s">
        <v>1033</v>
      </c>
      <c r="D1" s="111" t="s">
        <v>1034</v>
      </c>
      <c r="E1" s="111" t="s">
        <v>1035</v>
      </c>
      <c r="F1" s="111" t="s">
        <v>1036</v>
      </c>
      <c r="G1" s="111" t="s">
        <v>1037</v>
      </c>
      <c r="H1" s="111" t="s">
        <v>1038</v>
      </c>
      <c r="I1" s="111" t="s">
        <v>1039</v>
      </c>
      <c r="J1" s="111" t="s">
        <v>1040</v>
      </c>
      <c r="K1" s="111" t="s">
        <v>1041</v>
      </c>
      <c r="L1" s="111" t="s">
        <v>1042</v>
      </c>
      <c r="M1" s="111" t="s">
        <v>1043</v>
      </c>
      <c r="N1" s="111" t="s">
        <v>1044</v>
      </c>
      <c r="O1" s="111" t="s">
        <v>1045</v>
      </c>
      <c r="P1" s="111" t="s">
        <v>1046</v>
      </c>
      <c r="Q1" s="111" t="s">
        <v>468</v>
      </c>
    </row>
    <row r="2" spans="1:17" ht="90" x14ac:dyDescent="0.25">
      <c r="A2" s="103" t="s">
        <v>135</v>
      </c>
      <c r="B2" s="103" t="s">
        <v>233</v>
      </c>
      <c r="C2" s="107">
        <v>9931</v>
      </c>
      <c r="D2" s="112">
        <v>15.35</v>
      </c>
      <c r="E2" s="112">
        <v>2.1</v>
      </c>
      <c r="F2" s="112">
        <v>0.9</v>
      </c>
      <c r="G2" s="112">
        <v>1</v>
      </c>
      <c r="H2" s="112">
        <v>19.350000000000001</v>
      </c>
      <c r="I2" s="112">
        <v>19.350000000000001</v>
      </c>
      <c r="J2" s="112">
        <v>0</v>
      </c>
      <c r="K2" s="112">
        <v>16008.9</v>
      </c>
      <c r="L2" s="112">
        <v>16013.74</v>
      </c>
      <c r="M2" s="112">
        <v>-4.84</v>
      </c>
      <c r="N2" s="113">
        <v>46446</v>
      </c>
      <c r="O2" s="103" t="s">
        <v>234</v>
      </c>
      <c r="P2" s="103" t="s">
        <v>1047</v>
      </c>
      <c r="Q2" s="103" t="s">
        <v>1048</v>
      </c>
    </row>
    <row r="3" spans="1:17" ht="90" x14ac:dyDescent="0.25">
      <c r="A3" s="103" t="s">
        <v>89</v>
      </c>
      <c r="B3" s="103" t="s">
        <v>251</v>
      </c>
      <c r="C3" s="107">
        <v>2222</v>
      </c>
      <c r="D3" s="112">
        <v>13.5</v>
      </c>
      <c r="E3" s="112">
        <v>2.1</v>
      </c>
      <c r="F3" s="112">
        <v>0.85</v>
      </c>
      <c r="G3" s="112">
        <v>1</v>
      </c>
      <c r="H3" s="112">
        <v>17.45</v>
      </c>
      <c r="I3" s="112">
        <f t="shared" ref="I3:I22" si="0">ROUND(SUM(D3:G3),2)</f>
        <v>17.45</v>
      </c>
      <c r="J3" s="112">
        <f t="shared" ref="J3:J22" si="1">ROUND(H3-I3,2)</f>
        <v>0</v>
      </c>
      <c r="K3" s="112">
        <v>3231.16</v>
      </c>
      <c r="L3" s="112">
        <f t="shared" ref="L3:L22" si="2">ROUND(C3*H3/12,2)</f>
        <v>3231.16</v>
      </c>
      <c r="M3" s="112">
        <f t="shared" ref="M3:M22" si="3">ROUND(K3-L3,2)</f>
        <v>0</v>
      </c>
      <c r="N3" s="113">
        <v>47208</v>
      </c>
      <c r="O3" s="103" t="s">
        <v>234</v>
      </c>
      <c r="P3" s="103" t="s">
        <v>1047</v>
      </c>
      <c r="Q3" s="103"/>
    </row>
    <row r="4" spans="1:17" ht="90" x14ac:dyDescent="0.25">
      <c r="A4" s="103" t="s">
        <v>139</v>
      </c>
      <c r="B4" s="103" t="s">
        <v>268</v>
      </c>
      <c r="C4" s="107">
        <v>1743</v>
      </c>
      <c r="D4" s="112">
        <v>13.5</v>
      </c>
      <c r="E4" s="112">
        <v>2.1</v>
      </c>
      <c r="F4" s="112">
        <v>0.9</v>
      </c>
      <c r="G4" s="112">
        <v>1</v>
      </c>
      <c r="H4" s="112">
        <v>17.5</v>
      </c>
      <c r="I4" s="112">
        <f t="shared" si="0"/>
        <v>17.5</v>
      </c>
      <c r="J4" s="112">
        <f t="shared" si="1"/>
        <v>0</v>
      </c>
      <c r="K4" s="112">
        <v>2541.88</v>
      </c>
      <c r="L4" s="112">
        <f t="shared" si="2"/>
        <v>2541.88</v>
      </c>
      <c r="M4" s="112">
        <f t="shared" si="3"/>
        <v>0</v>
      </c>
      <c r="N4" s="113">
        <v>46477</v>
      </c>
      <c r="O4" s="103" t="s">
        <v>234</v>
      </c>
      <c r="P4" s="103" t="s">
        <v>1047</v>
      </c>
      <c r="Q4" s="103"/>
    </row>
    <row r="5" spans="1:17" ht="90" x14ac:dyDescent="0.25">
      <c r="A5" s="103" t="s">
        <v>99</v>
      </c>
      <c r="B5" s="103" t="s">
        <v>280</v>
      </c>
      <c r="C5" s="107">
        <v>2546</v>
      </c>
      <c r="D5" s="112">
        <v>14</v>
      </c>
      <c r="E5" s="112">
        <v>2.1</v>
      </c>
      <c r="F5" s="112">
        <v>0.85</v>
      </c>
      <c r="G5" s="112">
        <v>1</v>
      </c>
      <c r="H5" s="112">
        <v>17.95</v>
      </c>
      <c r="I5" s="112">
        <f t="shared" si="0"/>
        <v>17.95</v>
      </c>
      <c r="J5" s="112">
        <f t="shared" si="1"/>
        <v>0</v>
      </c>
      <c r="K5" s="112">
        <v>3808.39</v>
      </c>
      <c r="L5" s="112">
        <f t="shared" si="2"/>
        <v>3808.39</v>
      </c>
      <c r="M5" s="112">
        <f t="shared" si="3"/>
        <v>0</v>
      </c>
      <c r="N5" s="113">
        <v>47026</v>
      </c>
      <c r="O5" s="103" t="s">
        <v>234</v>
      </c>
      <c r="P5" s="103" t="s">
        <v>1047</v>
      </c>
      <c r="Q5" s="103"/>
    </row>
    <row r="6" spans="1:17" ht="90" x14ac:dyDescent="0.25">
      <c r="A6" s="103" t="s">
        <v>143</v>
      </c>
      <c r="B6" s="103" t="s">
        <v>290</v>
      </c>
      <c r="C6" s="107">
        <v>1690</v>
      </c>
      <c r="D6" s="112">
        <v>13.5</v>
      </c>
      <c r="E6" s="112">
        <v>2.1</v>
      </c>
      <c r="F6" s="112">
        <v>0.95</v>
      </c>
      <c r="G6" s="112">
        <v>1.95</v>
      </c>
      <c r="H6" s="112">
        <v>18.5</v>
      </c>
      <c r="I6" s="112">
        <f t="shared" si="0"/>
        <v>18.5</v>
      </c>
      <c r="J6" s="112">
        <f t="shared" si="1"/>
        <v>0</v>
      </c>
      <c r="K6" s="112">
        <v>2605.42</v>
      </c>
      <c r="L6" s="112">
        <f t="shared" si="2"/>
        <v>2605.42</v>
      </c>
      <c r="M6" s="112">
        <f t="shared" si="3"/>
        <v>0</v>
      </c>
      <c r="N6" s="113">
        <v>46418</v>
      </c>
      <c r="O6" s="103" t="s">
        <v>234</v>
      </c>
      <c r="P6" s="103" t="s">
        <v>1047</v>
      </c>
      <c r="Q6" s="103"/>
    </row>
    <row r="7" spans="1:17" ht="90" x14ac:dyDescent="0.25">
      <c r="A7" s="103" t="s">
        <v>298</v>
      </c>
      <c r="B7" s="103" t="s">
        <v>299</v>
      </c>
      <c r="C7" s="107">
        <v>2606</v>
      </c>
      <c r="D7" s="112">
        <v>13.5</v>
      </c>
      <c r="E7" s="112">
        <v>2.1</v>
      </c>
      <c r="F7" s="112">
        <v>0.95</v>
      </c>
      <c r="G7" s="112">
        <v>1.95</v>
      </c>
      <c r="H7" s="112">
        <v>18.5</v>
      </c>
      <c r="I7" s="112">
        <f t="shared" si="0"/>
        <v>18.5</v>
      </c>
      <c r="J7" s="112">
        <f t="shared" si="1"/>
        <v>0</v>
      </c>
      <c r="K7" s="112">
        <v>4017.58</v>
      </c>
      <c r="L7" s="112">
        <f t="shared" si="2"/>
        <v>4017.58</v>
      </c>
      <c r="M7" s="112">
        <f t="shared" si="3"/>
        <v>0</v>
      </c>
      <c r="N7" s="113">
        <v>46568</v>
      </c>
      <c r="O7" s="103" t="s">
        <v>234</v>
      </c>
      <c r="P7" s="103" t="s">
        <v>1047</v>
      </c>
      <c r="Q7" s="103"/>
    </row>
    <row r="8" spans="1:17" ht="90" x14ac:dyDescent="0.25">
      <c r="A8" s="103" t="s">
        <v>148</v>
      </c>
      <c r="B8" s="103" t="s">
        <v>311</v>
      </c>
      <c r="C8" s="107">
        <v>4340</v>
      </c>
      <c r="D8" s="112">
        <v>13.5</v>
      </c>
      <c r="E8" s="112">
        <v>2.1</v>
      </c>
      <c r="F8" s="112">
        <v>0.95</v>
      </c>
      <c r="G8" s="112">
        <v>1.85</v>
      </c>
      <c r="H8" s="112">
        <v>18.399999999999999</v>
      </c>
      <c r="I8" s="112">
        <f t="shared" si="0"/>
        <v>18.399999999999999</v>
      </c>
      <c r="J8" s="112">
        <f t="shared" si="1"/>
        <v>0</v>
      </c>
      <c r="K8" s="112">
        <v>6654.67</v>
      </c>
      <c r="L8" s="112">
        <f t="shared" si="2"/>
        <v>6654.67</v>
      </c>
      <c r="M8" s="112">
        <f t="shared" si="3"/>
        <v>0</v>
      </c>
      <c r="N8" s="113">
        <v>46295</v>
      </c>
      <c r="O8" s="103" t="s">
        <v>234</v>
      </c>
      <c r="P8" s="103" t="s">
        <v>1047</v>
      </c>
      <c r="Q8" s="103"/>
    </row>
    <row r="9" spans="1:17" ht="90" x14ac:dyDescent="0.25">
      <c r="A9" s="103" t="s">
        <v>103</v>
      </c>
      <c r="B9" s="103" t="s">
        <v>321</v>
      </c>
      <c r="C9" s="107">
        <v>1769</v>
      </c>
      <c r="D9" s="112">
        <v>14</v>
      </c>
      <c r="E9" s="112">
        <v>2.1</v>
      </c>
      <c r="F9" s="112">
        <v>0.95</v>
      </c>
      <c r="G9" s="112">
        <v>1.95</v>
      </c>
      <c r="H9" s="112">
        <v>19</v>
      </c>
      <c r="I9" s="112">
        <f t="shared" si="0"/>
        <v>19</v>
      </c>
      <c r="J9" s="112">
        <f t="shared" si="1"/>
        <v>0</v>
      </c>
      <c r="K9" s="112">
        <v>2800.92</v>
      </c>
      <c r="L9" s="112">
        <f t="shared" si="2"/>
        <v>2800.92</v>
      </c>
      <c r="M9" s="112">
        <f t="shared" si="3"/>
        <v>0</v>
      </c>
      <c r="N9" s="113">
        <v>47177</v>
      </c>
      <c r="O9" s="103" t="s">
        <v>234</v>
      </c>
      <c r="P9" s="103" t="s">
        <v>1047</v>
      </c>
      <c r="Q9" s="103"/>
    </row>
    <row r="10" spans="1:17" ht="90" x14ac:dyDescent="0.25">
      <c r="A10" s="103" t="s">
        <v>106</v>
      </c>
      <c r="B10" s="103" t="s">
        <v>327</v>
      </c>
      <c r="C10" s="107">
        <v>1982</v>
      </c>
      <c r="D10" s="112">
        <v>13.5</v>
      </c>
      <c r="E10" s="112">
        <v>2.1</v>
      </c>
      <c r="F10" s="112">
        <v>0.9</v>
      </c>
      <c r="G10" s="112">
        <v>1</v>
      </c>
      <c r="H10" s="112">
        <v>17.5</v>
      </c>
      <c r="I10" s="112">
        <f t="shared" si="0"/>
        <v>17.5</v>
      </c>
      <c r="J10" s="112">
        <f t="shared" si="1"/>
        <v>0</v>
      </c>
      <c r="K10" s="112">
        <v>2890.42</v>
      </c>
      <c r="L10" s="112">
        <f t="shared" si="2"/>
        <v>2890.42</v>
      </c>
      <c r="M10" s="112">
        <f t="shared" si="3"/>
        <v>0</v>
      </c>
      <c r="N10" s="113">
        <v>46446</v>
      </c>
      <c r="O10" s="103" t="s">
        <v>234</v>
      </c>
      <c r="P10" s="103" t="s">
        <v>1047</v>
      </c>
      <c r="Q10" s="103"/>
    </row>
    <row r="11" spans="1:17" ht="105" x14ac:dyDescent="0.25">
      <c r="A11" s="103" t="s">
        <v>109</v>
      </c>
      <c r="B11" s="103" t="s">
        <v>337</v>
      </c>
      <c r="C11" s="107">
        <v>1974</v>
      </c>
      <c r="D11" s="112">
        <v>14</v>
      </c>
      <c r="E11" s="112">
        <v>2.1</v>
      </c>
      <c r="F11" s="112">
        <v>1.2</v>
      </c>
      <c r="G11" s="112">
        <v>1.1499999999999999</v>
      </c>
      <c r="H11" s="112">
        <v>18.45</v>
      </c>
      <c r="I11" s="112">
        <f t="shared" si="0"/>
        <v>18.45</v>
      </c>
      <c r="J11" s="112">
        <f t="shared" si="1"/>
        <v>0</v>
      </c>
      <c r="K11" s="112">
        <v>3035.03</v>
      </c>
      <c r="L11" s="112">
        <f t="shared" si="2"/>
        <v>3035.03</v>
      </c>
      <c r="M11" s="112">
        <f t="shared" si="3"/>
        <v>0</v>
      </c>
      <c r="N11" s="113">
        <v>47177</v>
      </c>
      <c r="O11" s="103" t="s">
        <v>234</v>
      </c>
      <c r="P11" s="103" t="s">
        <v>1049</v>
      </c>
      <c r="Q11" s="103" t="s">
        <v>1050</v>
      </c>
    </row>
    <row r="12" spans="1:17" ht="90" x14ac:dyDescent="0.25">
      <c r="A12" s="103" t="s">
        <v>111</v>
      </c>
      <c r="B12" s="103" t="s">
        <v>349</v>
      </c>
      <c r="C12" s="107">
        <v>1709</v>
      </c>
      <c r="D12" s="112">
        <v>12.75</v>
      </c>
      <c r="E12" s="112">
        <v>2.1</v>
      </c>
      <c r="F12" s="112">
        <v>0.95</v>
      </c>
      <c r="G12" s="112">
        <v>1.95</v>
      </c>
      <c r="H12" s="112">
        <v>17.75</v>
      </c>
      <c r="I12" s="112">
        <f t="shared" si="0"/>
        <v>17.75</v>
      </c>
      <c r="J12" s="112">
        <f t="shared" si="1"/>
        <v>0</v>
      </c>
      <c r="K12" s="112">
        <v>2527.9</v>
      </c>
      <c r="L12" s="112">
        <f t="shared" si="2"/>
        <v>2527.9</v>
      </c>
      <c r="M12" s="112">
        <f t="shared" si="3"/>
        <v>0</v>
      </c>
      <c r="N12" s="113">
        <v>48213</v>
      </c>
      <c r="O12" s="103" t="s">
        <v>234</v>
      </c>
      <c r="P12" s="103" t="s">
        <v>1047</v>
      </c>
      <c r="Q12" s="103"/>
    </row>
    <row r="13" spans="1:17" ht="90" x14ac:dyDescent="0.25">
      <c r="A13" s="103" t="s">
        <v>358</v>
      </c>
      <c r="B13" s="103" t="s">
        <v>359</v>
      </c>
      <c r="C13" s="107">
        <v>3563</v>
      </c>
      <c r="D13" s="112">
        <v>13.5</v>
      </c>
      <c r="E13" s="112">
        <v>2.1</v>
      </c>
      <c r="F13" s="112">
        <v>0.95</v>
      </c>
      <c r="G13" s="112">
        <v>1.95</v>
      </c>
      <c r="H13" s="112">
        <v>18.5</v>
      </c>
      <c r="I13" s="112">
        <f t="shared" si="0"/>
        <v>18.5</v>
      </c>
      <c r="J13" s="112">
        <f t="shared" si="1"/>
        <v>0</v>
      </c>
      <c r="K13" s="112">
        <v>5492.96</v>
      </c>
      <c r="L13" s="112">
        <f t="shared" si="2"/>
        <v>5492.96</v>
      </c>
      <c r="M13" s="112">
        <f t="shared" si="3"/>
        <v>0</v>
      </c>
      <c r="N13" s="113">
        <v>47483</v>
      </c>
      <c r="O13" s="103" t="s">
        <v>234</v>
      </c>
      <c r="P13" s="103" t="s">
        <v>1047</v>
      </c>
      <c r="Q13" s="103"/>
    </row>
    <row r="14" spans="1:17" ht="90" x14ac:dyDescent="0.25">
      <c r="A14" s="103" t="s">
        <v>153</v>
      </c>
      <c r="B14" s="103" t="s">
        <v>367</v>
      </c>
      <c r="C14" s="107">
        <v>4273</v>
      </c>
      <c r="D14" s="112">
        <v>13.5</v>
      </c>
      <c r="E14" s="112">
        <v>2.1</v>
      </c>
      <c r="F14" s="112">
        <v>0.95</v>
      </c>
      <c r="G14" s="112">
        <v>1.95</v>
      </c>
      <c r="H14" s="112">
        <v>18.5</v>
      </c>
      <c r="I14" s="112">
        <f t="shared" si="0"/>
        <v>18.5</v>
      </c>
      <c r="J14" s="112">
        <f t="shared" si="1"/>
        <v>0</v>
      </c>
      <c r="K14" s="112">
        <v>6587.54</v>
      </c>
      <c r="L14" s="112">
        <f t="shared" si="2"/>
        <v>6587.54</v>
      </c>
      <c r="M14" s="112">
        <f t="shared" si="3"/>
        <v>0</v>
      </c>
      <c r="N14" s="113">
        <v>46873</v>
      </c>
      <c r="O14" s="103" t="s">
        <v>234</v>
      </c>
      <c r="P14" s="103" t="s">
        <v>1047</v>
      </c>
      <c r="Q14" s="103"/>
    </row>
    <row r="15" spans="1:17" ht="90" x14ac:dyDescent="0.25">
      <c r="A15" s="103" t="s">
        <v>157</v>
      </c>
      <c r="B15" s="103" t="s">
        <v>377</v>
      </c>
      <c r="C15" s="107">
        <v>1789</v>
      </c>
      <c r="D15" s="112">
        <v>14</v>
      </c>
      <c r="E15" s="112">
        <v>2.1</v>
      </c>
      <c r="F15" s="112">
        <v>0.95</v>
      </c>
      <c r="G15" s="112">
        <v>1.95</v>
      </c>
      <c r="H15" s="112">
        <v>19</v>
      </c>
      <c r="I15" s="112">
        <f t="shared" si="0"/>
        <v>19</v>
      </c>
      <c r="J15" s="112">
        <f t="shared" si="1"/>
        <v>0</v>
      </c>
      <c r="K15" s="112">
        <v>2832.58</v>
      </c>
      <c r="L15" s="112">
        <f t="shared" si="2"/>
        <v>2832.58</v>
      </c>
      <c r="M15" s="112">
        <f t="shared" si="3"/>
        <v>0</v>
      </c>
      <c r="N15" s="113">
        <v>47361</v>
      </c>
      <c r="O15" s="103" t="s">
        <v>234</v>
      </c>
      <c r="P15" s="103" t="s">
        <v>1047</v>
      </c>
      <c r="Q15" s="103"/>
    </row>
    <row r="16" spans="1:17" ht="90" x14ac:dyDescent="0.25">
      <c r="A16" s="103" t="s">
        <v>161</v>
      </c>
      <c r="B16" s="103" t="s">
        <v>1051</v>
      </c>
      <c r="C16" s="107">
        <v>1907</v>
      </c>
      <c r="D16" s="112">
        <v>0</v>
      </c>
      <c r="E16" s="112">
        <v>0</v>
      </c>
      <c r="F16" s="112">
        <v>0</v>
      </c>
      <c r="G16" s="112">
        <v>0</v>
      </c>
      <c r="H16" s="112">
        <v>0</v>
      </c>
      <c r="I16" s="112">
        <f t="shared" si="0"/>
        <v>0</v>
      </c>
      <c r="J16" s="112">
        <f t="shared" si="1"/>
        <v>0</v>
      </c>
      <c r="K16" s="112">
        <v>0</v>
      </c>
      <c r="L16" s="112">
        <f t="shared" si="2"/>
        <v>0</v>
      </c>
      <c r="M16" s="112">
        <f t="shared" si="3"/>
        <v>0</v>
      </c>
      <c r="N16" s="113" t="s">
        <v>1052</v>
      </c>
      <c r="O16" s="103" t="s">
        <v>385</v>
      </c>
      <c r="P16" s="103" t="s">
        <v>1047</v>
      </c>
      <c r="Q16" s="103"/>
    </row>
    <row r="17" spans="1:17" ht="90" x14ac:dyDescent="0.25">
      <c r="A17" s="103" t="s">
        <v>388</v>
      </c>
      <c r="B17" s="103" t="s">
        <v>1051</v>
      </c>
      <c r="C17" s="107">
        <v>1272</v>
      </c>
      <c r="D17" s="112">
        <v>0</v>
      </c>
      <c r="E17" s="112">
        <v>0</v>
      </c>
      <c r="F17" s="112">
        <v>0</v>
      </c>
      <c r="G17" s="112">
        <v>0</v>
      </c>
      <c r="H17" s="112">
        <v>0</v>
      </c>
      <c r="I17" s="112">
        <f t="shared" si="0"/>
        <v>0</v>
      </c>
      <c r="J17" s="112">
        <f t="shared" si="1"/>
        <v>0</v>
      </c>
      <c r="K17" s="112">
        <v>0</v>
      </c>
      <c r="L17" s="112">
        <f t="shared" si="2"/>
        <v>0</v>
      </c>
      <c r="M17" s="112">
        <f t="shared" si="3"/>
        <v>0</v>
      </c>
      <c r="N17" s="113" t="s">
        <v>1052</v>
      </c>
      <c r="O17" s="103" t="s">
        <v>385</v>
      </c>
      <c r="P17" s="103" t="s">
        <v>1047</v>
      </c>
      <c r="Q17" s="103"/>
    </row>
    <row r="18" spans="1:17" ht="90" x14ac:dyDescent="0.25">
      <c r="A18" s="103" t="s">
        <v>166</v>
      </c>
      <c r="B18" s="103" t="s">
        <v>394</v>
      </c>
      <c r="C18" s="107">
        <v>1580</v>
      </c>
      <c r="D18" s="112">
        <v>10.5</v>
      </c>
      <c r="E18" s="112">
        <v>2.1</v>
      </c>
      <c r="F18" s="112">
        <v>0.95</v>
      </c>
      <c r="G18" s="112">
        <v>1.95</v>
      </c>
      <c r="H18" s="112">
        <v>15.5</v>
      </c>
      <c r="I18" s="112">
        <f t="shared" si="0"/>
        <v>15.5</v>
      </c>
      <c r="J18" s="112">
        <f t="shared" si="1"/>
        <v>0</v>
      </c>
      <c r="K18" s="112">
        <v>2040.83</v>
      </c>
      <c r="L18" s="112">
        <f t="shared" si="2"/>
        <v>2040.83</v>
      </c>
      <c r="M18" s="112">
        <f t="shared" si="3"/>
        <v>0</v>
      </c>
      <c r="N18" s="113">
        <v>47999</v>
      </c>
      <c r="O18" s="103" t="s">
        <v>234</v>
      </c>
      <c r="P18" s="103" t="s">
        <v>1047</v>
      </c>
      <c r="Q18" s="103"/>
    </row>
    <row r="19" spans="1:17" ht="105" x14ac:dyDescent="0.25">
      <c r="A19" s="103" t="s">
        <v>402</v>
      </c>
      <c r="B19" s="103" t="s">
        <v>562</v>
      </c>
      <c r="C19" s="107">
        <v>1580</v>
      </c>
      <c r="D19" s="112">
        <v>0</v>
      </c>
      <c r="E19" s="112">
        <v>0</v>
      </c>
      <c r="F19" s="112">
        <v>0</v>
      </c>
      <c r="G19" s="112">
        <v>0</v>
      </c>
      <c r="H19" s="112">
        <v>0</v>
      </c>
      <c r="I19" s="112">
        <f t="shared" si="0"/>
        <v>0</v>
      </c>
      <c r="J19" s="112">
        <f t="shared" si="1"/>
        <v>0</v>
      </c>
      <c r="K19" s="112">
        <v>0</v>
      </c>
      <c r="L19" s="112">
        <f t="shared" si="2"/>
        <v>0</v>
      </c>
      <c r="M19" s="112">
        <f t="shared" si="3"/>
        <v>0</v>
      </c>
      <c r="N19" s="113" t="s">
        <v>1052</v>
      </c>
      <c r="O19" s="103" t="s">
        <v>405</v>
      </c>
      <c r="P19" s="103" t="s">
        <v>1049</v>
      </c>
      <c r="Q19" s="103" t="s">
        <v>1053</v>
      </c>
    </row>
    <row r="20" spans="1:17" ht="90" x14ac:dyDescent="0.25">
      <c r="A20" s="103" t="s">
        <v>171</v>
      </c>
      <c r="B20" s="103" t="s">
        <v>412</v>
      </c>
      <c r="C20" s="107">
        <v>2053</v>
      </c>
      <c r="D20" s="112">
        <v>13.5</v>
      </c>
      <c r="E20" s="112">
        <v>2.1</v>
      </c>
      <c r="F20" s="112">
        <v>0.95</v>
      </c>
      <c r="G20" s="112">
        <v>1.95</v>
      </c>
      <c r="H20" s="112">
        <v>18.5</v>
      </c>
      <c r="I20" s="112">
        <f t="shared" si="0"/>
        <v>18.5</v>
      </c>
      <c r="J20" s="112">
        <f t="shared" si="1"/>
        <v>0</v>
      </c>
      <c r="K20" s="112">
        <v>3165.04</v>
      </c>
      <c r="L20" s="112">
        <f t="shared" si="2"/>
        <v>3165.04</v>
      </c>
      <c r="M20" s="112">
        <f t="shared" si="3"/>
        <v>0</v>
      </c>
      <c r="N20" s="113">
        <v>47787</v>
      </c>
      <c r="O20" s="103" t="s">
        <v>234</v>
      </c>
      <c r="P20" s="103" t="s">
        <v>1047</v>
      </c>
      <c r="Q20" s="103"/>
    </row>
    <row r="21" spans="1:17" ht="90" x14ac:dyDescent="0.25">
      <c r="A21" s="103" t="s">
        <v>749</v>
      </c>
      <c r="B21" s="103" t="s">
        <v>420</v>
      </c>
      <c r="C21" s="107">
        <v>3834</v>
      </c>
      <c r="D21" s="112">
        <v>13.5</v>
      </c>
      <c r="E21" s="112">
        <v>2.1</v>
      </c>
      <c r="F21" s="112">
        <v>0.95</v>
      </c>
      <c r="G21" s="112">
        <v>1.95</v>
      </c>
      <c r="H21" s="112">
        <v>18.5</v>
      </c>
      <c r="I21" s="112">
        <f t="shared" si="0"/>
        <v>18.5</v>
      </c>
      <c r="J21" s="112">
        <f t="shared" si="1"/>
        <v>0</v>
      </c>
      <c r="K21" s="112">
        <v>5910.75</v>
      </c>
      <c r="L21" s="112">
        <f t="shared" si="2"/>
        <v>5910.75</v>
      </c>
      <c r="M21" s="112">
        <f t="shared" si="3"/>
        <v>0</v>
      </c>
      <c r="N21" s="113">
        <v>46507</v>
      </c>
      <c r="O21" s="103" t="s">
        <v>234</v>
      </c>
      <c r="P21" s="103" t="s">
        <v>1047</v>
      </c>
      <c r="Q21" s="103"/>
    </row>
    <row r="22" spans="1:17" ht="90" x14ac:dyDescent="0.25">
      <c r="A22" s="103" t="s">
        <v>117</v>
      </c>
      <c r="B22" s="103" t="s">
        <v>429</v>
      </c>
      <c r="C22" s="107">
        <v>1917</v>
      </c>
      <c r="D22" s="112">
        <v>16</v>
      </c>
      <c r="E22" s="112">
        <v>2.1</v>
      </c>
      <c r="F22" s="112">
        <v>0.85</v>
      </c>
      <c r="G22" s="112">
        <v>1</v>
      </c>
      <c r="H22" s="112">
        <v>19.95</v>
      </c>
      <c r="I22" s="112">
        <f t="shared" si="0"/>
        <v>19.95</v>
      </c>
      <c r="J22" s="112">
        <f t="shared" si="1"/>
        <v>0</v>
      </c>
      <c r="K22" s="112">
        <v>3187.01</v>
      </c>
      <c r="L22" s="112">
        <f t="shared" si="2"/>
        <v>3187.01</v>
      </c>
      <c r="M22" s="112">
        <f t="shared" si="3"/>
        <v>0</v>
      </c>
      <c r="N22" s="113">
        <v>47879</v>
      </c>
      <c r="O22" s="103" t="s">
        <v>234</v>
      </c>
      <c r="P22" s="103" t="s">
        <v>1047</v>
      </c>
      <c r="Q22" s="103"/>
    </row>
    <row r="23" spans="1:17" ht="105" x14ac:dyDescent="0.25">
      <c r="A23" s="103" t="s">
        <v>121</v>
      </c>
      <c r="B23" s="103" t="s">
        <v>436</v>
      </c>
      <c r="C23" s="107">
        <v>1917</v>
      </c>
      <c r="D23" s="112">
        <v>14.95</v>
      </c>
      <c r="E23" s="112">
        <v>2.1</v>
      </c>
      <c r="F23" s="112">
        <v>0.95</v>
      </c>
      <c r="G23" s="112">
        <v>1.95</v>
      </c>
      <c r="H23" s="112">
        <v>19.95</v>
      </c>
      <c r="I23" s="112">
        <v>19.95</v>
      </c>
      <c r="J23" s="112">
        <v>0</v>
      </c>
      <c r="K23" s="112">
        <v>3187.01</v>
      </c>
      <c r="L23" s="112">
        <v>3187.01</v>
      </c>
      <c r="M23" s="112">
        <v>0</v>
      </c>
      <c r="N23" s="113">
        <v>47879</v>
      </c>
      <c r="O23" s="103" t="s">
        <v>234</v>
      </c>
      <c r="P23" s="103" t="s">
        <v>1049</v>
      </c>
      <c r="Q23" s="103" t="s">
        <v>1054</v>
      </c>
    </row>
    <row r="24" spans="1:17" ht="90" x14ac:dyDescent="0.25">
      <c r="A24" s="103" t="s">
        <v>127</v>
      </c>
      <c r="B24" s="103" t="s">
        <v>443</v>
      </c>
      <c r="C24" s="107">
        <v>4613</v>
      </c>
      <c r="D24" s="112">
        <v>16.25</v>
      </c>
      <c r="E24" s="112">
        <v>2.1</v>
      </c>
      <c r="F24" s="112">
        <v>0.85</v>
      </c>
      <c r="G24" s="112">
        <v>1</v>
      </c>
      <c r="H24" s="112">
        <v>20.2</v>
      </c>
      <c r="I24" s="112">
        <f>ROUND(SUM(D24:G24),2)</f>
        <v>20.2</v>
      </c>
      <c r="J24" s="112">
        <f>ROUND(H24-I24,2)</f>
        <v>0</v>
      </c>
      <c r="K24" s="112">
        <v>7765.22</v>
      </c>
      <c r="L24" s="112">
        <f>ROUND(C24*H24/12,2)</f>
        <v>7765.22</v>
      </c>
      <c r="M24" s="112">
        <f>ROUND(K24-L24,2)</f>
        <v>0</v>
      </c>
      <c r="N24" s="113">
        <v>47787</v>
      </c>
      <c r="O24" s="103" t="s">
        <v>234</v>
      </c>
      <c r="P24" s="103" t="s">
        <v>1047</v>
      </c>
      <c r="Q24" s="103"/>
    </row>
    <row r="25" spans="1:17" x14ac:dyDescent="0.25">
      <c r="A25" s="116" t="s">
        <v>1055</v>
      </c>
      <c r="B25" s="116"/>
      <c r="C25" s="117">
        <v>62810</v>
      </c>
      <c r="D25" s="118"/>
      <c r="E25" s="118"/>
      <c r="F25" s="118"/>
      <c r="G25" s="118"/>
      <c r="H25" s="118"/>
      <c r="I25" s="118"/>
      <c r="J25" s="118"/>
      <c r="K25" s="118">
        <v>90291.21</v>
      </c>
      <c r="L25" s="118">
        <v>90296.04</v>
      </c>
      <c r="M25" s="118">
        <v>-4.83</v>
      </c>
      <c r="N25" s="116"/>
      <c r="O25" s="116"/>
      <c r="P25" s="116"/>
      <c r="Q25" s="116"/>
    </row>
  </sheetData>
  <conditionalFormatting sqref="A2:Q24">
    <cfRule type="expression" dxfId="5" priority="1">
      <formula>ABS($M2)&gt;0.01</formula>
    </cfRule>
    <cfRule type="expression" dxfId="4" priority="2">
      <formula>$O2="EXPIRED_OCCUPIED_REVIEW"</formula>
    </cfRule>
    <cfRule type="expression" dxfId="3" priority="3">
      <formula>$O2="ZERO_RENT_REVIEW"</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L28"/>
  <sheetViews>
    <sheetView workbookViewId="0"/>
  </sheetViews>
  <sheetFormatPr defaultRowHeight="15" x14ac:dyDescent="0.25"/>
  <cols>
    <col min="1" max="2" width="16" customWidth="1"/>
    <col min="3" max="3" width="24" customWidth="1"/>
    <col min="4" max="17" width="16" customWidth="1"/>
    <col min="18" max="23" width="36" customWidth="1"/>
    <col min="24" max="38" width="28" customWidth="1"/>
  </cols>
  <sheetData>
    <row r="1" spans="1:38" ht="45" x14ac:dyDescent="0.25">
      <c r="A1" s="111" t="s">
        <v>77</v>
      </c>
      <c r="B1" s="111" t="s">
        <v>191</v>
      </c>
      <c r="C1" s="111" t="s">
        <v>1056</v>
      </c>
      <c r="D1" s="111" t="s">
        <v>78</v>
      </c>
      <c r="E1" s="111" t="s">
        <v>454</v>
      </c>
      <c r="F1" s="111" t="s">
        <v>1057</v>
      </c>
      <c r="G1" s="111" t="s">
        <v>1058</v>
      </c>
      <c r="H1" s="111" t="s">
        <v>1059</v>
      </c>
      <c r="I1" s="111" t="s">
        <v>1034</v>
      </c>
      <c r="J1" s="111" t="s">
        <v>1035</v>
      </c>
      <c r="K1" s="111" t="s">
        <v>1036</v>
      </c>
      <c r="L1" s="111" t="s">
        <v>1037</v>
      </c>
      <c r="M1" s="111" t="s">
        <v>1060</v>
      </c>
      <c r="N1" s="111" t="s">
        <v>1061</v>
      </c>
      <c r="O1" s="111" t="s">
        <v>1062</v>
      </c>
      <c r="P1" s="111" t="s">
        <v>1063</v>
      </c>
      <c r="Q1" s="111" t="s">
        <v>1044</v>
      </c>
      <c r="R1" s="111" t="s">
        <v>1064</v>
      </c>
      <c r="S1" s="111" t="s">
        <v>1065</v>
      </c>
      <c r="T1" s="111" t="s">
        <v>1066</v>
      </c>
      <c r="U1" s="111" t="s">
        <v>460</v>
      </c>
      <c r="V1" s="111" t="s">
        <v>1067</v>
      </c>
      <c r="W1" s="111" t="s">
        <v>82</v>
      </c>
      <c r="X1" s="111" t="s">
        <v>184</v>
      </c>
      <c r="Y1" s="111" t="s">
        <v>185</v>
      </c>
      <c r="Z1" s="111" t="s">
        <v>225</v>
      </c>
      <c r="AA1" s="111" t="s">
        <v>226</v>
      </c>
      <c r="AB1" s="111" t="s">
        <v>227</v>
      </c>
      <c r="AC1" s="111" t="s">
        <v>228</v>
      </c>
      <c r="AD1" s="111" t="s">
        <v>218</v>
      </c>
      <c r="AE1" s="111" t="s">
        <v>219</v>
      </c>
      <c r="AF1" s="111" t="s">
        <v>220</v>
      </c>
      <c r="AG1" s="111" t="s">
        <v>221</v>
      </c>
      <c r="AH1" s="111" t="s">
        <v>222</v>
      </c>
      <c r="AI1" s="111" t="s">
        <v>223</v>
      </c>
      <c r="AJ1" s="111" t="s">
        <v>224</v>
      </c>
      <c r="AK1" s="111" t="s">
        <v>87</v>
      </c>
      <c r="AL1" s="111" t="s">
        <v>468</v>
      </c>
    </row>
    <row r="2" spans="1:38" ht="105" x14ac:dyDescent="0.25">
      <c r="A2" s="103" t="s">
        <v>134</v>
      </c>
      <c r="B2" s="107">
        <v>6877</v>
      </c>
      <c r="C2" s="103" t="s">
        <v>233</v>
      </c>
      <c r="D2" s="103" t="s">
        <v>135</v>
      </c>
      <c r="E2" s="107">
        <v>9931</v>
      </c>
      <c r="F2" s="114">
        <v>0.69247809888228784</v>
      </c>
      <c r="G2" s="103" t="s">
        <v>95</v>
      </c>
      <c r="H2" s="103" t="s">
        <v>234</v>
      </c>
      <c r="I2" s="112">
        <v>15.35</v>
      </c>
      <c r="J2" s="112">
        <v>2.1</v>
      </c>
      <c r="K2" s="112">
        <v>0.9</v>
      </c>
      <c r="L2" s="112">
        <v>1</v>
      </c>
      <c r="M2" s="112">
        <v>19.350000000000001</v>
      </c>
      <c r="N2" s="112">
        <v>16008.9</v>
      </c>
      <c r="O2" s="112">
        <v>16013.74</v>
      </c>
      <c r="P2" s="112">
        <v>11085.81</v>
      </c>
      <c r="Q2" s="113">
        <v>46446</v>
      </c>
      <c r="R2" s="103" t="s">
        <v>1047</v>
      </c>
      <c r="S2" s="103" t="s">
        <v>95</v>
      </c>
      <c r="T2" s="103" t="s">
        <v>1068</v>
      </c>
      <c r="U2" s="103" t="s">
        <v>253</v>
      </c>
      <c r="V2" s="103"/>
      <c r="W2" s="103"/>
      <c r="X2" s="103" t="s">
        <v>233</v>
      </c>
      <c r="Y2" s="103" t="s">
        <v>232</v>
      </c>
      <c r="Z2" s="103" t="s">
        <v>245</v>
      </c>
      <c r="AA2" s="103" t="s">
        <v>246</v>
      </c>
      <c r="AB2" s="103" t="s">
        <v>247</v>
      </c>
      <c r="AC2" s="103" t="s">
        <v>248</v>
      </c>
      <c r="AD2" s="103" t="s">
        <v>238</v>
      </c>
      <c r="AE2" s="103" t="s">
        <v>239</v>
      </c>
      <c r="AF2" s="103" t="s">
        <v>240</v>
      </c>
      <c r="AG2" s="103" t="s">
        <v>241</v>
      </c>
      <c r="AH2" s="103" t="s">
        <v>242</v>
      </c>
      <c r="AI2" s="103" t="s">
        <v>243</v>
      </c>
      <c r="AJ2" s="103" t="s">
        <v>244</v>
      </c>
      <c r="AK2" s="103" t="s">
        <v>1069</v>
      </c>
      <c r="AL2" s="103" t="s">
        <v>1070</v>
      </c>
    </row>
    <row r="3" spans="1:38" ht="105" x14ac:dyDescent="0.25">
      <c r="A3" s="103" t="s">
        <v>250</v>
      </c>
      <c r="B3" s="107">
        <v>3054</v>
      </c>
      <c r="C3" s="103" t="s">
        <v>233</v>
      </c>
      <c r="D3" s="103" t="s">
        <v>135</v>
      </c>
      <c r="E3" s="107">
        <v>9931</v>
      </c>
      <c r="F3" s="114">
        <v>0.30752190111771222</v>
      </c>
      <c r="G3" s="103" t="s">
        <v>95</v>
      </c>
      <c r="H3" s="103" t="s">
        <v>234</v>
      </c>
      <c r="I3" s="112">
        <v>15.35</v>
      </c>
      <c r="J3" s="112">
        <v>2.1</v>
      </c>
      <c r="K3" s="112">
        <v>0.9</v>
      </c>
      <c r="L3" s="112">
        <v>1</v>
      </c>
      <c r="M3" s="112">
        <v>19.350000000000001</v>
      </c>
      <c r="N3" s="112">
        <v>16008.9</v>
      </c>
      <c r="O3" s="112">
        <v>16013.74</v>
      </c>
      <c r="P3" s="112">
        <v>4923.09</v>
      </c>
      <c r="Q3" s="113">
        <v>46446</v>
      </c>
      <c r="R3" s="103" t="s">
        <v>1047</v>
      </c>
      <c r="S3" s="103" t="s">
        <v>95</v>
      </c>
      <c r="T3" s="103" t="s">
        <v>1068</v>
      </c>
      <c r="U3" s="103" t="s">
        <v>253</v>
      </c>
      <c r="V3" s="103"/>
      <c r="W3" s="103"/>
      <c r="X3" s="103" t="s">
        <v>233</v>
      </c>
      <c r="Y3" s="103" t="s">
        <v>232</v>
      </c>
      <c r="Z3" s="103" t="s">
        <v>245</v>
      </c>
      <c r="AA3" s="103" t="s">
        <v>246</v>
      </c>
      <c r="AB3" s="103" t="s">
        <v>247</v>
      </c>
      <c r="AC3" s="103" t="s">
        <v>248</v>
      </c>
      <c r="AD3" s="103" t="s">
        <v>238</v>
      </c>
      <c r="AE3" s="103" t="s">
        <v>239</v>
      </c>
      <c r="AF3" s="103" t="s">
        <v>240</v>
      </c>
      <c r="AG3" s="103" t="s">
        <v>241</v>
      </c>
      <c r="AH3" s="103" t="s">
        <v>242</v>
      </c>
      <c r="AI3" s="103" t="s">
        <v>243</v>
      </c>
      <c r="AJ3" s="103" t="s">
        <v>244</v>
      </c>
      <c r="AK3" s="103" t="s">
        <v>1069</v>
      </c>
      <c r="AL3" s="103" t="s">
        <v>1071</v>
      </c>
    </row>
    <row r="4" spans="1:38" ht="75" x14ac:dyDescent="0.25">
      <c r="A4" s="103" t="s">
        <v>89</v>
      </c>
      <c r="B4" s="107">
        <v>2222</v>
      </c>
      <c r="C4" s="103" t="s">
        <v>251</v>
      </c>
      <c r="D4" s="103" t="s">
        <v>89</v>
      </c>
      <c r="E4" s="107">
        <v>2222</v>
      </c>
      <c r="F4" s="114">
        <f t="shared" ref="F4:F28" si="0">IF(E4=0,0,B4/E4)</f>
        <v>1</v>
      </c>
      <c r="G4" s="103" t="s">
        <v>253</v>
      </c>
      <c r="H4" s="103" t="s">
        <v>234</v>
      </c>
      <c r="I4" s="112">
        <v>13.5</v>
      </c>
      <c r="J4" s="112">
        <v>2.1</v>
      </c>
      <c r="K4" s="112">
        <v>0.85</v>
      </c>
      <c r="L4" s="112">
        <v>1</v>
      </c>
      <c r="M4" s="112">
        <v>17.45</v>
      </c>
      <c r="N4" s="112">
        <v>3231.16</v>
      </c>
      <c r="O4" s="112">
        <f t="shared" ref="O4:O12" si="1">ROUND(E4*M4/12,2)</f>
        <v>3231.16</v>
      </c>
      <c r="P4" s="112">
        <f t="shared" ref="P4:P12" si="2">ROUND(O4*F4,2)</f>
        <v>3231.16</v>
      </c>
      <c r="Q4" s="113">
        <v>47208</v>
      </c>
      <c r="R4" s="103" t="s">
        <v>1047</v>
      </c>
      <c r="S4" s="103" t="s">
        <v>95</v>
      </c>
      <c r="T4" s="103" t="s">
        <v>1068</v>
      </c>
      <c r="U4" s="103" t="s">
        <v>253</v>
      </c>
      <c r="V4" s="103"/>
      <c r="W4" s="103"/>
      <c r="X4" s="103" t="s">
        <v>252</v>
      </c>
      <c r="Y4" s="103" t="s">
        <v>251</v>
      </c>
      <c r="Z4" s="103" t="s">
        <v>262</v>
      </c>
      <c r="AA4" s="103" t="s">
        <v>263</v>
      </c>
      <c r="AB4" s="103" t="s">
        <v>264</v>
      </c>
      <c r="AC4" s="103" t="s">
        <v>265</v>
      </c>
      <c r="AD4" s="103" t="s">
        <v>257</v>
      </c>
      <c r="AE4" s="103" t="s">
        <v>258</v>
      </c>
      <c r="AF4" s="103" t="s">
        <v>259</v>
      </c>
      <c r="AG4" s="103" t="s">
        <v>260</v>
      </c>
      <c r="AH4" s="103" t="s">
        <v>261</v>
      </c>
      <c r="AI4" s="103" t="s">
        <v>243</v>
      </c>
      <c r="AJ4" s="103" t="s">
        <v>244</v>
      </c>
      <c r="AK4" s="103" t="s">
        <v>1069</v>
      </c>
      <c r="AL4" s="103"/>
    </row>
    <row r="5" spans="1:38" ht="75" x14ac:dyDescent="0.25">
      <c r="A5" s="103" t="s">
        <v>139</v>
      </c>
      <c r="B5" s="107">
        <v>1743</v>
      </c>
      <c r="C5" s="103" t="s">
        <v>268</v>
      </c>
      <c r="D5" s="103" t="s">
        <v>139</v>
      </c>
      <c r="E5" s="107">
        <v>1743</v>
      </c>
      <c r="F5" s="114">
        <f t="shared" si="0"/>
        <v>1</v>
      </c>
      <c r="G5" s="103" t="s">
        <v>253</v>
      </c>
      <c r="H5" s="103" t="s">
        <v>234</v>
      </c>
      <c r="I5" s="112">
        <v>13.5</v>
      </c>
      <c r="J5" s="112">
        <v>2.1</v>
      </c>
      <c r="K5" s="112">
        <v>0.9</v>
      </c>
      <c r="L5" s="112">
        <v>1</v>
      </c>
      <c r="M5" s="112">
        <v>17.5</v>
      </c>
      <c r="N5" s="112">
        <v>2541.88</v>
      </c>
      <c r="O5" s="112">
        <f t="shared" si="1"/>
        <v>2541.88</v>
      </c>
      <c r="P5" s="112">
        <f t="shared" si="2"/>
        <v>2541.88</v>
      </c>
      <c r="Q5" s="113">
        <v>46477</v>
      </c>
      <c r="R5" s="103" t="s">
        <v>1047</v>
      </c>
      <c r="S5" s="103" t="s">
        <v>95</v>
      </c>
      <c r="T5" s="103" t="s">
        <v>1068</v>
      </c>
      <c r="U5" s="103" t="s">
        <v>253</v>
      </c>
      <c r="V5" s="103"/>
      <c r="W5" s="103"/>
      <c r="X5" s="103" t="s">
        <v>267</v>
      </c>
      <c r="Y5" s="103" t="s">
        <v>268</v>
      </c>
      <c r="Z5" s="103" t="s">
        <v>274</v>
      </c>
      <c r="AA5" s="103" t="s">
        <v>275</v>
      </c>
      <c r="AB5" s="103" t="s">
        <v>276</v>
      </c>
      <c r="AC5" s="103" t="s">
        <v>277</v>
      </c>
      <c r="AD5" s="103" t="s">
        <v>270</v>
      </c>
      <c r="AE5" s="103" t="s">
        <v>271</v>
      </c>
      <c r="AF5" s="103" t="s">
        <v>272</v>
      </c>
      <c r="AG5" s="103" t="s">
        <v>260</v>
      </c>
      <c r="AH5" s="103" t="s">
        <v>273</v>
      </c>
      <c r="AI5" s="103" t="s">
        <v>243</v>
      </c>
      <c r="AJ5" s="103" t="s">
        <v>244</v>
      </c>
      <c r="AK5" s="103" t="s">
        <v>1069</v>
      </c>
      <c r="AL5" s="103"/>
    </row>
    <row r="6" spans="1:38" ht="75" x14ac:dyDescent="0.25">
      <c r="A6" s="103" t="s">
        <v>99</v>
      </c>
      <c r="B6" s="107">
        <v>2546</v>
      </c>
      <c r="C6" s="103" t="s">
        <v>280</v>
      </c>
      <c r="D6" s="103" t="s">
        <v>99</v>
      </c>
      <c r="E6" s="107">
        <v>2546</v>
      </c>
      <c r="F6" s="114">
        <f t="shared" si="0"/>
        <v>1</v>
      </c>
      <c r="G6" s="103" t="s">
        <v>253</v>
      </c>
      <c r="H6" s="103" t="s">
        <v>234</v>
      </c>
      <c r="I6" s="112">
        <v>14</v>
      </c>
      <c r="J6" s="112">
        <v>2.1</v>
      </c>
      <c r="K6" s="112">
        <v>0.85</v>
      </c>
      <c r="L6" s="112">
        <v>1</v>
      </c>
      <c r="M6" s="112">
        <v>17.95</v>
      </c>
      <c r="N6" s="112">
        <v>3808.39</v>
      </c>
      <c r="O6" s="112">
        <f t="shared" si="1"/>
        <v>3808.39</v>
      </c>
      <c r="P6" s="112">
        <f t="shared" si="2"/>
        <v>3808.39</v>
      </c>
      <c r="Q6" s="113">
        <v>47026</v>
      </c>
      <c r="R6" s="103" t="s">
        <v>1047</v>
      </c>
      <c r="S6" s="103" t="s">
        <v>95</v>
      </c>
      <c r="T6" s="103" t="s">
        <v>1068</v>
      </c>
      <c r="U6" s="103" t="s">
        <v>253</v>
      </c>
      <c r="V6" s="103"/>
      <c r="W6" s="103"/>
      <c r="X6" s="103" t="s">
        <v>279</v>
      </c>
      <c r="Y6" s="103" t="s">
        <v>280</v>
      </c>
      <c r="Z6" s="103" t="s">
        <v>284</v>
      </c>
      <c r="AA6" s="103" t="s">
        <v>285</v>
      </c>
      <c r="AB6" s="103" t="s">
        <v>286</v>
      </c>
      <c r="AC6" s="103" t="s">
        <v>287</v>
      </c>
      <c r="AD6" s="103" t="s">
        <v>282</v>
      </c>
      <c r="AE6" s="103" t="s">
        <v>283</v>
      </c>
      <c r="AF6" s="103" t="s">
        <v>259</v>
      </c>
      <c r="AG6" s="103" t="s">
        <v>260</v>
      </c>
      <c r="AH6" s="103" t="s">
        <v>261</v>
      </c>
      <c r="AI6" s="103" t="s">
        <v>243</v>
      </c>
      <c r="AJ6" s="103" t="s">
        <v>244</v>
      </c>
      <c r="AK6" s="103" t="s">
        <v>1069</v>
      </c>
      <c r="AL6" s="103"/>
    </row>
    <row r="7" spans="1:38" ht="75" x14ac:dyDescent="0.25">
      <c r="A7" s="103" t="s">
        <v>143</v>
      </c>
      <c r="B7" s="107">
        <v>1690</v>
      </c>
      <c r="C7" s="103" t="s">
        <v>290</v>
      </c>
      <c r="D7" s="103" t="s">
        <v>143</v>
      </c>
      <c r="E7" s="107">
        <v>1690</v>
      </c>
      <c r="F7" s="114">
        <f t="shared" si="0"/>
        <v>1</v>
      </c>
      <c r="G7" s="103" t="s">
        <v>253</v>
      </c>
      <c r="H7" s="103" t="s">
        <v>234</v>
      </c>
      <c r="I7" s="112">
        <v>13.5</v>
      </c>
      <c r="J7" s="112">
        <v>2.1</v>
      </c>
      <c r="K7" s="112">
        <v>0.95</v>
      </c>
      <c r="L7" s="112">
        <v>1.95</v>
      </c>
      <c r="M7" s="112">
        <v>18.5</v>
      </c>
      <c r="N7" s="112">
        <v>2605.42</v>
      </c>
      <c r="O7" s="112">
        <f t="shared" si="1"/>
        <v>2605.42</v>
      </c>
      <c r="P7" s="112">
        <f t="shared" si="2"/>
        <v>2605.42</v>
      </c>
      <c r="Q7" s="113">
        <v>46418</v>
      </c>
      <c r="R7" s="103" t="s">
        <v>1047</v>
      </c>
      <c r="S7" s="103" t="s">
        <v>95</v>
      </c>
      <c r="T7" s="103" t="s">
        <v>1068</v>
      </c>
      <c r="U7" s="103" t="s">
        <v>253</v>
      </c>
      <c r="V7" s="103"/>
      <c r="W7" s="103"/>
      <c r="X7" s="103" t="s">
        <v>289</v>
      </c>
      <c r="Y7" s="103" t="s">
        <v>290</v>
      </c>
      <c r="Z7" s="103" t="s">
        <v>294</v>
      </c>
      <c r="AA7" s="103" t="s">
        <v>295</v>
      </c>
      <c r="AB7" s="103" t="s">
        <v>296</v>
      </c>
      <c r="AC7" s="103" t="s">
        <v>297</v>
      </c>
      <c r="AD7" s="103" t="s">
        <v>292</v>
      </c>
      <c r="AE7" s="103" t="s">
        <v>293</v>
      </c>
      <c r="AF7" s="103" t="s">
        <v>259</v>
      </c>
      <c r="AG7" s="103" t="s">
        <v>260</v>
      </c>
      <c r="AH7" s="103" t="s">
        <v>261</v>
      </c>
      <c r="AI7" s="103" t="s">
        <v>243</v>
      </c>
      <c r="AJ7" s="103" t="s">
        <v>244</v>
      </c>
      <c r="AK7" s="103" t="s">
        <v>1069</v>
      </c>
      <c r="AL7" s="103"/>
    </row>
    <row r="8" spans="1:38" ht="75" x14ac:dyDescent="0.25">
      <c r="A8" s="103" t="s">
        <v>298</v>
      </c>
      <c r="B8" s="107">
        <v>2606</v>
      </c>
      <c r="C8" s="103" t="s">
        <v>299</v>
      </c>
      <c r="D8" s="103" t="s">
        <v>298</v>
      </c>
      <c r="E8" s="107">
        <v>2606</v>
      </c>
      <c r="F8" s="114">
        <f t="shared" si="0"/>
        <v>1</v>
      </c>
      <c r="G8" s="103" t="s">
        <v>253</v>
      </c>
      <c r="H8" s="103" t="s">
        <v>234</v>
      </c>
      <c r="I8" s="112">
        <v>13.5</v>
      </c>
      <c r="J8" s="112">
        <v>2.1</v>
      </c>
      <c r="K8" s="112">
        <v>0.95</v>
      </c>
      <c r="L8" s="112">
        <v>1.95</v>
      </c>
      <c r="M8" s="112">
        <v>18.5</v>
      </c>
      <c r="N8" s="112">
        <v>4017.58</v>
      </c>
      <c r="O8" s="112">
        <f t="shared" si="1"/>
        <v>4017.58</v>
      </c>
      <c r="P8" s="112">
        <f t="shared" si="2"/>
        <v>4017.58</v>
      </c>
      <c r="Q8" s="113">
        <v>46568</v>
      </c>
      <c r="R8" s="103" t="s">
        <v>1047</v>
      </c>
      <c r="S8" s="103" t="s">
        <v>95</v>
      </c>
      <c r="T8" s="103" t="s">
        <v>1068</v>
      </c>
      <c r="U8" s="103" t="s">
        <v>253</v>
      </c>
      <c r="V8" s="103"/>
      <c r="W8" s="103"/>
      <c r="X8" s="103" t="s">
        <v>300</v>
      </c>
      <c r="Y8" s="103" t="s">
        <v>299</v>
      </c>
      <c r="Z8" s="103" t="s">
        <v>305</v>
      </c>
      <c r="AA8" s="103" t="s">
        <v>306</v>
      </c>
      <c r="AB8" s="103" t="s">
        <v>307</v>
      </c>
      <c r="AC8" s="103" t="s">
        <v>308</v>
      </c>
      <c r="AD8" s="103" t="s">
        <v>303</v>
      </c>
      <c r="AE8" s="103"/>
      <c r="AF8" s="103"/>
      <c r="AG8" s="103" t="s">
        <v>304</v>
      </c>
      <c r="AH8" s="103"/>
      <c r="AI8" s="103" t="s">
        <v>243</v>
      </c>
      <c r="AJ8" s="103"/>
      <c r="AK8" s="103" t="s">
        <v>1069</v>
      </c>
      <c r="AL8" s="103"/>
    </row>
    <row r="9" spans="1:38" ht="120" x14ac:dyDescent="0.25">
      <c r="A9" s="103" t="s">
        <v>147</v>
      </c>
      <c r="B9" s="107">
        <v>2170</v>
      </c>
      <c r="C9" s="103" t="s">
        <v>311</v>
      </c>
      <c r="D9" s="103" t="s">
        <v>148</v>
      </c>
      <c r="E9" s="107">
        <v>4340</v>
      </c>
      <c r="F9" s="114">
        <f t="shared" si="0"/>
        <v>0.5</v>
      </c>
      <c r="G9" s="103" t="s">
        <v>95</v>
      </c>
      <c r="H9" s="103" t="s">
        <v>234</v>
      </c>
      <c r="I9" s="112">
        <v>13.5</v>
      </c>
      <c r="J9" s="112">
        <v>2.1</v>
      </c>
      <c r="K9" s="112">
        <v>0.95</v>
      </c>
      <c r="L9" s="112">
        <v>1.85</v>
      </c>
      <c r="M9" s="112">
        <v>18.399999999999999</v>
      </c>
      <c r="N9" s="112">
        <v>6654.67</v>
      </c>
      <c r="O9" s="112">
        <f t="shared" si="1"/>
        <v>6654.67</v>
      </c>
      <c r="P9" s="112">
        <f t="shared" si="2"/>
        <v>3327.34</v>
      </c>
      <c r="Q9" s="113">
        <v>46295</v>
      </c>
      <c r="R9" s="103" t="s">
        <v>1047</v>
      </c>
      <c r="S9" s="103" t="s">
        <v>95</v>
      </c>
      <c r="T9" s="103" t="s">
        <v>1068</v>
      </c>
      <c r="U9" s="103" t="s">
        <v>253</v>
      </c>
      <c r="V9" s="103"/>
      <c r="W9" s="103"/>
      <c r="X9" s="103" t="s">
        <v>310</v>
      </c>
      <c r="Y9" s="103" t="s">
        <v>311</v>
      </c>
      <c r="Z9" s="103" t="s">
        <v>315</v>
      </c>
      <c r="AA9" s="103" t="s">
        <v>316</v>
      </c>
      <c r="AB9" s="103" t="s">
        <v>317</v>
      </c>
      <c r="AC9" s="103" t="s">
        <v>318</v>
      </c>
      <c r="AD9" s="103" t="s">
        <v>313</v>
      </c>
      <c r="AE9" s="103" t="s">
        <v>283</v>
      </c>
      <c r="AF9" s="103" t="s">
        <v>272</v>
      </c>
      <c r="AG9" s="103" t="s">
        <v>260</v>
      </c>
      <c r="AH9" s="103" t="s">
        <v>314</v>
      </c>
      <c r="AI9" s="103" t="s">
        <v>243</v>
      </c>
      <c r="AJ9" s="103" t="s">
        <v>244</v>
      </c>
      <c r="AK9" s="103" t="s">
        <v>1069</v>
      </c>
      <c r="AL9" s="103" t="s">
        <v>1072</v>
      </c>
    </row>
    <row r="10" spans="1:38" ht="120" x14ac:dyDescent="0.25">
      <c r="A10" s="103" t="s">
        <v>319</v>
      </c>
      <c r="B10" s="107">
        <v>2170</v>
      </c>
      <c r="C10" s="103" t="s">
        <v>311</v>
      </c>
      <c r="D10" s="103" t="s">
        <v>148</v>
      </c>
      <c r="E10" s="107">
        <v>4340</v>
      </c>
      <c r="F10" s="114">
        <f t="shared" si="0"/>
        <v>0.5</v>
      </c>
      <c r="G10" s="103" t="s">
        <v>95</v>
      </c>
      <c r="H10" s="103" t="s">
        <v>234</v>
      </c>
      <c r="I10" s="112">
        <v>13.5</v>
      </c>
      <c r="J10" s="112">
        <v>2.1</v>
      </c>
      <c r="K10" s="112">
        <v>0.95</v>
      </c>
      <c r="L10" s="112">
        <v>1.85</v>
      </c>
      <c r="M10" s="112">
        <v>18.399999999999999</v>
      </c>
      <c r="N10" s="112">
        <v>6654.67</v>
      </c>
      <c r="O10" s="112">
        <f t="shared" si="1"/>
        <v>6654.67</v>
      </c>
      <c r="P10" s="112">
        <f t="shared" si="2"/>
        <v>3327.34</v>
      </c>
      <c r="Q10" s="113">
        <v>46295</v>
      </c>
      <c r="R10" s="103" t="s">
        <v>1047</v>
      </c>
      <c r="S10" s="103" t="s">
        <v>95</v>
      </c>
      <c r="T10" s="103" t="s">
        <v>1068</v>
      </c>
      <c r="U10" s="103" t="s">
        <v>253</v>
      </c>
      <c r="V10" s="103"/>
      <c r="W10" s="103"/>
      <c r="X10" s="103" t="s">
        <v>310</v>
      </c>
      <c r="Y10" s="103" t="s">
        <v>311</v>
      </c>
      <c r="Z10" s="103" t="s">
        <v>315</v>
      </c>
      <c r="AA10" s="103" t="s">
        <v>316</v>
      </c>
      <c r="AB10" s="103" t="s">
        <v>317</v>
      </c>
      <c r="AC10" s="103" t="s">
        <v>318</v>
      </c>
      <c r="AD10" s="103" t="s">
        <v>313</v>
      </c>
      <c r="AE10" s="103" t="s">
        <v>283</v>
      </c>
      <c r="AF10" s="103" t="s">
        <v>272</v>
      </c>
      <c r="AG10" s="103" t="s">
        <v>260</v>
      </c>
      <c r="AH10" s="103" t="s">
        <v>314</v>
      </c>
      <c r="AI10" s="103" t="s">
        <v>243</v>
      </c>
      <c r="AJ10" s="103" t="s">
        <v>244</v>
      </c>
      <c r="AK10" s="103" t="s">
        <v>1069</v>
      </c>
      <c r="AL10" s="103" t="s">
        <v>1072</v>
      </c>
    </row>
    <row r="11" spans="1:38" ht="75" x14ac:dyDescent="0.25">
      <c r="A11" s="103" t="s">
        <v>103</v>
      </c>
      <c r="B11" s="107">
        <v>1769</v>
      </c>
      <c r="C11" s="103" t="s">
        <v>321</v>
      </c>
      <c r="D11" s="103" t="s">
        <v>103</v>
      </c>
      <c r="E11" s="107">
        <v>1769</v>
      </c>
      <c r="F11" s="114">
        <f t="shared" si="0"/>
        <v>1</v>
      </c>
      <c r="G11" s="103" t="s">
        <v>253</v>
      </c>
      <c r="H11" s="103" t="s">
        <v>234</v>
      </c>
      <c r="I11" s="112">
        <v>14</v>
      </c>
      <c r="J11" s="112">
        <v>2.1</v>
      </c>
      <c r="K11" s="112">
        <v>0.95</v>
      </c>
      <c r="L11" s="112">
        <v>1.95</v>
      </c>
      <c r="M11" s="112">
        <v>19</v>
      </c>
      <c r="N11" s="112">
        <v>2800.92</v>
      </c>
      <c r="O11" s="112">
        <f t="shared" si="1"/>
        <v>2800.92</v>
      </c>
      <c r="P11" s="112">
        <f t="shared" si="2"/>
        <v>2800.92</v>
      </c>
      <c r="Q11" s="113">
        <v>47177</v>
      </c>
      <c r="R11" s="103" t="s">
        <v>1047</v>
      </c>
      <c r="S11" s="103" t="s">
        <v>95</v>
      </c>
      <c r="T11" s="103" t="s">
        <v>1068</v>
      </c>
      <c r="U11" s="103" t="s">
        <v>253</v>
      </c>
      <c r="V11" s="103"/>
      <c r="W11" s="103"/>
      <c r="X11" s="103" t="s">
        <v>320</v>
      </c>
      <c r="Y11" s="103" t="s">
        <v>321</v>
      </c>
      <c r="Z11" s="103" t="s">
        <v>323</v>
      </c>
      <c r="AA11" s="103" t="s">
        <v>324</v>
      </c>
      <c r="AB11" s="103" t="s">
        <v>325</v>
      </c>
      <c r="AC11" s="103" t="s">
        <v>326</v>
      </c>
      <c r="AD11" s="103" t="s">
        <v>322</v>
      </c>
      <c r="AE11" s="103"/>
      <c r="AF11" s="103"/>
      <c r="AG11" s="103" t="s">
        <v>304</v>
      </c>
      <c r="AH11" s="103"/>
      <c r="AI11" s="103" t="s">
        <v>243</v>
      </c>
      <c r="AJ11" s="103" t="s">
        <v>244</v>
      </c>
      <c r="AK11" s="103" t="s">
        <v>1069</v>
      </c>
      <c r="AL11" s="103"/>
    </row>
    <row r="12" spans="1:38" ht="75" x14ac:dyDescent="0.25">
      <c r="A12" s="103" t="s">
        <v>106</v>
      </c>
      <c r="B12" s="107">
        <v>1982</v>
      </c>
      <c r="C12" s="103" t="s">
        <v>327</v>
      </c>
      <c r="D12" s="103" t="s">
        <v>106</v>
      </c>
      <c r="E12" s="107">
        <v>1982</v>
      </c>
      <c r="F12" s="114">
        <f t="shared" si="0"/>
        <v>1</v>
      </c>
      <c r="G12" s="103" t="s">
        <v>253</v>
      </c>
      <c r="H12" s="103" t="s">
        <v>234</v>
      </c>
      <c r="I12" s="112">
        <v>13.5</v>
      </c>
      <c r="J12" s="112">
        <v>2.1</v>
      </c>
      <c r="K12" s="112">
        <v>0.9</v>
      </c>
      <c r="L12" s="112">
        <v>1</v>
      </c>
      <c r="M12" s="112">
        <v>17.5</v>
      </c>
      <c r="N12" s="112">
        <v>2890.42</v>
      </c>
      <c r="O12" s="112">
        <f t="shared" si="1"/>
        <v>2890.42</v>
      </c>
      <c r="P12" s="112">
        <f t="shared" si="2"/>
        <v>2890.42</v>
      </c>
      <c r="Q12" s="113">
        <v>46446</v>
      </c>
      <c r="R12" s="103" t="s">
        <v>1047</v>
      </c>
      <c r="S12" s="103" t="s">
        <v>95</v>
      </c>
      <c r="T12" s="103" t="s">
        <v>1068</v>
      </c>
      <c r="U12" s="103" t="s">
        <v>253</v>
      </c>
      <c r="V12" s="103"/>
      <c r="W12" s="103"/>
      <c r="X12" s="103" t="s">
        <v>328</v>
      </c>
      <c r="Y12" s="103" t="s">
        <v>327</v>
      </c>
      <c r="Z12" s="103" t="s">
        <v>333</v>
      </c>
      <c r="AA12" s="103" t="s">
        <v>334</v>
      </c>
      <c r="AB12" s="103" t="s">
        <v>335</v>
      </c>
      <c r="AC12" s="103" t="s">
        <v>336</v>
      </c>
      <c r="AD12" s="103" t="s">
        <v>330</v>
      </c>
      <c r="AE12" s="103"/>
      <c r="AF12" s="103" t="s">
        <v>331</v>
      </c>
      <c r="AG12" s="103" t="s">
        <v>260</v>
      </c>
      <c r="AH12" s="103" t="s">
        <v>261</v>
      </c>
      <c r="AI12" s="103" t="s">
        <v>332</v>
      </c>
      <c r="AJ12" s="103" t="s">
        <v>244</v>
      </c>
      <c r="AK12" s="103" t="s">
        <v>1069</v>
      </c>
      <c r="AL12" s="103"/>
    </row>
    <row r="13" spans="1:38" ht="75" x14ac:dyDescent="0.25">
      <c r="A13" s="103" t="s">
        <v>109</v>
      </c>
      <c r="B13" s="107">
        <v>1974</v>
      </c>
      <c r="C13" s="103" t="s">
        <v>337</v>
      </c>
      <c r="D13" s="103" t="s">
        <v>109</v>
      </c>
      <c r="E13" s="107">
        <v>1974</v>
      </c>
      <c r="F13" s="114">
        <f t="shared" si="0"/>
        <v>1</v>
      </c>
      <c r="G13" s="103" t="s">
        <v>253</v>
      </c>
      <c r="H13" s="103" t="s">
        <v>234</v>
      </c>
      <c r="I13" s="112">
        <v>14</v>
      </c>
      <c r="J13" s="112">
        <v>2.1</v>
      </c>
      <c r="K13" s="112">
        <v>1.2</v>
      </c>
      <c r="L13" s="112">
        <v>1.1499999999999999</v>
      </c>
      <c r="M13" s="112">
        <v>18.45</v>
      </c>
      <c r="N13" s="112">
        <v>3035.03</v>
      </c>
      <c r="O13" s="112">
        <v>3035.03</v>
      </c>
      <c r="P13" s="112">
        <v>3035.03</v>
      </c>
      <c r="Q13" s="113">
        <v>47177</v>
      </c>
      <c r="R13" s="103" t="s">
        <v>1049</v>
      </c>
      <c r="S13" s="103" t="s">
        <v>95</v>
      </c>
      <c r="T13" s="103" t="s">
        <v>1073</v>
      </c>
      <c r="U13" s="103" t="s">
        <v>253</v>
      </c>
      <c r="V13" s="103"/>
      <c r="W13" s="103" t="s">
        <v>1074</v>
      </c>
      <c r="X13" s="103" t="s">
        <v>338</v>
      </c>
      <c r="Y13" s="103" t="s">
        <v>337</v>
      </c>
      <c r="Z13" s="103" t="s">
        <v>345</v>
      </c>
      <c r="AA13" s="103" t="s">
        <v>346</v>
      </c>
      <c r="AB13" s="103" t="s">
        <v>347</v>
      </c>
      <c r="AC13" s="103" t="s">
        <v>348</v>
      </c>
      <c r="AD13" s="103" t="s">
        <v>342</v>
      </c>
      <c r="AE13" s="103" t="s">
        <v>343</v>
      </c>
      <c r="AF13" s="103" t="s">
        <v>259</v>
      </c>
      <c r="AG13" s="103" t="s">
        <v>304</v>
      </c>
      <c r="AH13" s="103" t="s">
        <v>261</v>
      </c>
      <c r="AI13" s="103" t="s">
        <v>344</v>
      </c>
      <c r="AJ13" s="103" t="s">
        <v>244</v>
      </c>
      <c r="AK13" s="103" t="s">
        <v>1069</v>
      </c>
      <c r="AL13" s="103" t="s">
        <v>1075</v>
      </c>
    </row>
    <row r="14" spans="1:38" ht="75" x14ac:dyDescent="0.25">
      <c r="A14" s="103" t="s">
        <v>111</v>
      </c>
      <c r="B14" s="107">
        <v>1709</v>
      </c>
      <c r="C14" s="103" t="s">
        <v>349</v>
      </c>
      <c r="D14" s="103" t="s">
        <v>111</v>
      </c>
      <c r="E14" s="107">
        <v>1709</v>
      </c>
      <c r="F14" s="114">
        <f t="shared" si="0"/>
        <v>1</v>
      </c>
      <c r="G14" s="103" t="s">
        <v>253</v>
      </c>
      <c r="H14" s="103" t="s">
        <v>234</v>
      </c>
      <c r="I14" s="112">
        <v>12.75</v>
      </c>
      <c r="J14" s="112">
        <v>2.1</v>
      </c>
      <c r="K14" s="112">
        <v>0.95</v>
      </c>
      <c r="L14" s="112">
        <v>1.95</v>
      </c>
      <c r="M14" s="112">
        <v>17.75</v>
      </c>
      <c r="N14" s="112">
        <v>2527.9</v>
      </c>
      <c r="O14" s="112">
        <f t="shared" ref="O14:O21" si="3">ROUND(E14*M14/12,2)</f>
        <v>2527.9</v>
      </c>
      <c r="P14" s="112">
        <f t="shared" ref="P14:P21" si="4">ROUND(O14*F14,2)</f>
        <v>2527.9</v>
      </c>
      <c r="Q14" s="113">
        <v>48213</v>
      </c>
      <c r="R14" s="103" t="s">
        <v>1047</v>
      </c>
      <c r="S14" s="103" t="s">
        <v>95</v>
      </c>
      <c r="T14" s="103" t="s">
        <v>1076</v>
      </c>
      <c r="U14" s="103" t="s">
        <v>253</v>
      </c>
      <c r="V14" s="103"/>
      <c r="W14" s="103"/>
      <c r="X14" s="103" t="s">
        <v>350</v>
      </c>
      <c r="Y14" s="103" t="s">
        <v>349</v>
      </c>
      <c r="Z14" s="103" t="s">
        <v>354</v>
      </c>
      <c r="AA14" s="103" t="s">
        <v>355</v>
      </c>
      <c r="AB14" s="103" t="s">
        <v>356</v>
      </c>
      <c r="AC14" s="103" t="s">
        <v>357</v>
      </c>
      <c r="AD14" s="103" t="s">
        <v>353</v>
      </c>
      <c r="AE14" s="103"/>
      <c r="AF14" s="103" t="s">
        <v>331</v>
      </c>
      <c r="AG14" s="103" t="s">
        <v>260</v>
      </c>
      <c r="AH14" s="103" t="s">
        <v>261</v>
      </c>
      <c r="AI14" s="103" t="s">
        <v>243</v>
      </c>
      <c r="AJ14" s="103" t="s">
        <v>244</v>
      </c>
      <c r="AK14" s="103" t="s">
        <v>1069</v>
      </c>
      <c r="AL14" s="103"/>
    </row>
    <row r="15" spans="1:38" ht="75" x14ac:dyDescent="0.25">
      <c r="A15" s="103" t="s">
        <v>358</v>
      </c>
      <c r="B15" s="107">
        <v>3563</v>
      </c>
      <c r="C15" s="103" t="s">
        <v>359</v>
      </c>
      <c r="D15" s="103" t="s">
        <v>358</v>
      </c>
      <c r="E15" s="107">
        <v>3563</v>
      </c>
      <c r="F15" s="114">
        <f t="shared" si="0"/>
        <v>1</v>
      </c>
      <c r="G15" s="103" t="s">
        <v>253</v>
      </c>
      <c r="H15" s="103" t="s">
        <v>234</v>
      </c>
      <c r="I15" s="112">
        <v>13.5</v>
      </c>
      <c r="J15" s="112">
        <v>2.1</v>
      </c>
      <c r="K15" s="112">
        <v>0.95</v>
      </c>
      <c r="L15" s="112">
        <v>1.95</v>
      </c>
      <c r="M15" s="112">
        <v>18.5</v>
      </c>
      <c r="N15" s="112">
        <v>5492.96</v>
      </c>
      <c r="O15" s="112">
        <f t="shared" si="3"/>
        <v>5492.96</v>
      </c>
      <c r="P15" s="112">
        <f t="shared" si="4"/>
        <v>5492.96</v>
      </c>
      <c r="Q15" s="113">
        <v>47483</v>
      </c>
      <c r="R15" s="103" t="s">
        <v>1047</v>
      </c>
      <c r="S15" s="103" t="s">
        <v>95</v>
      </c>
      <c r="T15" s="103" t="s">
        <v>1068</v>
      </c>
      <c r="U15" s="103" t="s">
        <v>253</v>
      </c>
      <c r="V15" s="103"/>
      <c r="W15" s="103"/>
      <c r="X15" s="103" t="s">
        <v>360</v>
      </c>
      <c r="Y15" s="103" t="s">
        <v>359</v>
      </c>
      <c r="Z15" s="103" t="s">
        <v>363</v>
      </c>
      <c r="AA15" s="103" t="s">
        <v>364</v>
      </c>
      <c r="AB15" s="103" t="s">
        <v>365</v>
      </c>
      <c r="AC15" s="103" t="s">
        <v>366</v>
      </c>
      <c r="AD15" s="103" t="s">
        <v>362</v>
      </c>
      <c r="AE15" s="103"/>
      <c r="AF15" s="103" t="s">
        <v>331</v>
      </c>
      <c r="AG15" s="103" t="s">
        <v>260</v>
      </c>
      <c r="AH15" s="103" t="s">
        <v>261</v>
      </c>
      <c r="AI15" s="103" t="s">
        <v>243</v>
      </c>
      <c r="AJ15" s="103" t="s">
        <v>244</v>
      </c>
      <c r="AK15" s="103" t="s">
        <v>1069</v>
      </c>
      <c r="AL15" s="103"/>
    </row>
    <row r="16" spans="1:38" ht="120" x14ac:dyDescent="0.25">
      <c r="A16" s="103" t="s">
        <v>152</v>
      </c>
      <c r="B16" s="107">
        <v>1735</v>
      </c>
      <c r="C16" s="103" t="s">
        <v>367</v>
      </c>
      <c r="D16" s="103" t="s">
        <v>153</v>
      </c>
      <c r="E16" s="107">
        <v>4273</v>
      </c>
      <c r="F16" s="114">
        <f t="shared" si="0"/>
        <v>0.40603791247367188</v>
      </c>
      <c r="G16" s="103" t="s">
        <v>95</v>
      </c>
      <c r="H16" s="103" t="s">
        <v>234</v>
      </c>
      <c r="I16" s="112">
        <v>13.5</v>
      </c>
      <c r="J16" s="112">
        <v>2.1</v>
      </c>
      <c r="K16" s="112">
        <v>0.95</v>
      </c>
      <c r="L16" s="112">
        <v>1.95</v>
      </c>
      <c r="M16" s="112">
        <v>18.5</v>
      </c>
      <c r="N16" s="112">
        <v>6587.54</v>
      </c>
      <c r="O16" s="112">
        <f t="shared" si="3"/>
        <v>6587.54</v>
      </c>
      <c r="P16" s="112">
        <f t="shared" si="4"/>
        <v>2674.79</v>
      </c>
      <c r="Q16" s="113">
        <v>46873</v>
      </c>
      <c r="R16" s="103" t="s">
        <v>1047</v>
      </c>
      <c r="S16" s="103" t="s">
        <v>95</v>
      </c>
      <c r="T16" s="103" t="s">
        <v>1068</v>
      </c>
      <c r="U16" s="103" t="s">
        <v>253</v>
      </c>
      <c r="V16" s="103"/>
      <c r="W16" s="103"/>
      <c r="X16" s="103" t="s">
        <v>368</v>
      </c>
      <c r="Y16" s="103" t="s">
        <v>367</v>
      </c>
      <c r="Z16" s="103" t="s">
        <v>372</v>
      </c>
      <c r="AA16" s="103" t="s">
        <v>373</v>
      </c>
      <c r="AB16" s="103" t="s">
        <v>374</v>
      </c>
      <c r="AC16" s="103" t="s">
        <v>375</v>
      </c>
      <c r="AD16" s="103" t="s">
        <v>370</v>
      </c>
      <c r="AE16" s="103"/>
      <c r="AF16" s="103" t="s">
        <v>331</v>
      </c>
      <c r="AG16" s="103" t="s">
        <v>260</v>
      </c>
      <c r="AH16" s="103" t="s">
        <v>371</v>
      </c>
      <c r="AI16" s="103" t="s">
        <v>243</v>
      </c>
      <c r="AJ16" s="103" t="s">
        <v>244</v>
      </c>
      <c r="AK16" s="103" t="s">
        <v>1069</v>
      </c>
      <c r="AL16" s="103" t="s">
        <v>1072</v>
      </c>
    </row>
    <row r="17" spans="1:38" ht="120" x14ac:dyDescent="0.25">
      <c r="A17" s="103" t="s">
        <v>376</v>
      </c>
      <c r="B17" s="107">
        <v>2538</v>
      </c>
      <c r="C17" s="103" t="s">
        <v>367</v>
      </c>
      <c r="D17" s="103" t="s">
        <v>153</v>
      </c>
      <c r="E17" s="107">
        <v>4273</v>
      </c>
      <c r="F17" s="114">
        <f t="shared" si="0"/>
        <v>0.59396208752632806</v>
      </c>
      <c r="G17" s="103" t="s">
        <v>95</v>
      </c>
      <c r="H17" s="103" t="s">
        <v>234</v>
      </c>
      <c r="I17" s="112">
        <v>13.5</v>
      </c>
      <c r="J17" s="112">
        <v>2.1</v>
      </c>
      <c r="K17" s="112">
        <v>0.95</v>
      </c>
      <c r="L17" s="112">
        <v>1.95</v>
      </c>
      <c r="M17" s="112">
        <v>18.5</v>
      </c>
      <c r="N17" s="112">
        <v>6587.54</v>
      </c>
      <c r="O17" s="112">
        <f t="shared" si="3"/>
        <v>6587.54</v>
      </c>
      <c r="P17" s="112">
        <f t="shared" si="4"/>
        <v>3912.75</v>
      </c>
      <c r="Q17" s="113">
        <v>46873</v>
      </c>
      <c r="R17" s="103" t="s">
        <v>1047</v>
      </c>
      <c r="S17" s="103" t="s">
        <v>95</v>
      </c>
      <c r="T17" s="103" t="s">
        <v>1068</v>
      </c>
      <c r="U17" s="103" t="s">
        <v>253</v>
      </c>
      <c r="V17" s="103"/>
      <c r="W17" s="103"/>
      <c r="X17" s="103" t="s">
        <v>368</v>
      </c>
      <c r="Y17" s="103" t="s">
        <v>367</v>
      </c>
      <c r="Z17" s="103" t="s">
        <v>372</v>
      </c>
      <c r="AA17" s="103" t="s">
        <v>373</v>
      </c>
      <c r="AB17" s="103" t="s">
        <v>374</v>
      </c>
      <c r="AC17" s="103" t="s">
        <v>375</v>
      </c>
      <c r="AD17" s="103" t="s">
        <v>370</v>
      </c>
      <c r="AE17" s="103"/>
      <c r="AF17" s="103" t="s">
        <v>331</v>
      </c>
      <c r="AG17" s="103" t="s">
        <v>260</v>
      </c>
      <c r="AH17" s="103" t="s">
        <v>371</v>
      </c>
      <c r="AI17" s="103" t="s">
        <v>243</v>
      </c>
      <c r="AJ17" s="103" t="s">
        <v>244</v>
      </c>
      <c r="AK17" s="103" t="s">
        <v>1069</v>
      </c>
      <c r="AL17" s="103" t="s">
        <v>1072</v>
      </c>
    </row>
    <row r="18" spans="1:38" ht="75" x14ac:dyDescent="0.25">
      <c r="A18" s="103" t="s">
        <v>157</v>
      </c>
      <c r="B18" s="107">
        <v>1789</v>
      </c>
      <c r="C18" s="103" t="s">
        <v>377</v>
      </c>
      <c r="D18" s="103" t="s">
        <v>157</v>
      </c>
      <c r="E18" s="107">
        <v>1789</v>
      </c>
      <c r="F18" s="114">
        <f t="shared" si="0"/>
        <v>1</v>
      </c>
      <c r="G18" s="103" t="s">
        <v>253</v>
      </c>
      <c r="H18" s="103" t="s">
        <v>234</v>
      </c>
      <c r="I18" s="112">
        <v>14</v>
      </c>
      <c r="J18" s="112">
        <v>2.1</v>
      </c>
      <c r="K18" s="112">
        <v>0.95</v>
      </c>
      <c r="L18" s="112">
        <v>1.95</v>
      </c>
      <c r="M18" s="112">
        <v>19</v>
      </c>
      <c r="N18" s="112">
        <v>2832.58</v>
      </c>
      <c r="O18" s="112">
        <f t="shared" si="3"/>
        <v>2832.58</v>
      </c>
      <c r="P18" s="112">
        <f t="shared" si="4"/>
        <v>2832.58</v>
      </c>
      <c r="Q18" s="113">
        <v>47361</v>
      </c>
      <c r="R18" s="103" t="s">
        <v>1047</v>
      </c>
      <c r="S18" s="103" t="s">
        <v>95</v>
      </c>
      <c r="T18" s="103" t="s">
        <v>1068</v>
      </c>
      <c r="U18" s="103" t="s">
        <v>253</v>
      </c>
      <c r="V18" s="103"/>
      <c r="W18" s="103"/>
      <c r="X18" s="103" t="s">
        <v>378</v>
      </c>
      <c r="Y18" s="103" t="s">
        <v>377</v>
      </c>
      <c r="Z18" s="103" t="s">
        <v>381</v>
      </c>
      <c r="AA18" s="103" t="s">
        <v>382</v>
      </c>
      <c r="AB18" s="103" t="s">
        <v>383</v>
      </c>
      <c r="AC18" s="103" t="s">
        <v>384</v>
      </c>
      <c r="AD18" s="103" t="s">
        <v>380</v>
      </c>
      <c r="AE18" s="103"/>
      <c r="AF18" s="103" t="s">
        <v>331</v>
      </c>
      <c r="AG18" s="103" t="s">
        <v>260</v>
      </c>
      <c r="AH18" s="103" t="s">
        <v>371</v>
      </c>
      <c r="AI18" s="103" t="s">
        <v>243</v>
      </c>
      <c r="AJ18" s="103" t="s">
        <v>244</v>
      </c>
      <c r="AK18" s="103" t="s">
        <v>1069</v>
      </c>
      <c r="AL18" s="103"/>
    </row>
    <row r="19" spans="1:38" ht="75" x14ac:dyDescent="0.25">
      <c r="A19" s="103" t="s">
        <v>161</v>
      </c>
      <c r="B19" s="107">
        <v>1907</v>
      </c>
      <c r="C19" s="103" t="s">
        <v>1051</v>
      </c>
      <c r="D19" s="103" t="s">
        <v>161</v>
      </c>
      <c r="E19" s="107">
        <v>1907</v>
      </c>
      <c r="F19" s="114">
        <f t="shared" si="0"/>
        <v>1</v>
      </c>
      <c r="G19" s="103" t="s">
        <v>253</v>
      </c>
      <c r="H19" s="103" t="s">
        <v>385</v>
      </c>
      <c r="I19" s="112">
        <v>0</v>
      </c>
      <c r="J19" s="112">
        <v>0</v>
      </c>
      <c r="K19" s="112">
        <v>0</v>
      </c>
      <c r="L19" s="112">
        <v>0</v>
      </c>
      <c r="M19" s="112">
        <v>0</v>
      </c>
      <c r="N19" s="112">
        <v>0</v>
      </c>
      <c r="O19" s="112">
        <f t="shared" si="3"/>
        <v>0</v>
      </c>
      <c r="P19" s="112">
        <f t="shared" si="4"/>
        <v>0</v>
      </c>
      <c r="Q19" s="113" t="s">
        <v>1052</v>
      </c>
      <c r="R19" s="103" t="s">
        <v>1047</v>
      </c>
      <c r="S19" s="103" t="s">
        <v>95</v>
      </c>
      <c r="T19" s="103" t="s">
        <v>1068</v>
      </c>
      <c r="U19" s="103" t="s">
        <v>253</v>
      </c>
      <c r="V19" s="103"/>
      <c r="W19" s="103"/>
      <c r="X19" s="103"/>
      <c r="Y19" s="103" t="s">
        <v>385</v>
      </c>
      <c r="Z19" s="103"/>
      <c r="AA19" s="103"/>
      <c r="AB19" s="103"/>
      <c r="AC19" s="103" t="s">
        <v>387</v>
      </c>
      <c r="AD19" s="103"/>
      <c r="AE19" s="103"/>
      <c r="AF19" s="103"/>
      <c r="AG19" s="103"/>
      <c r="AH19" s="103"/>
      <c r="AI19" s="103" t="s">
        <v>243</v>
      </c>
      <c r="AJ19" s="103" t="s">
        <v>244</v>
      </c>
      <c r="AK19" s="103" t="s">
        <v>1069</v>
      </c>
      <c r="AL19" s="103"/>
    </row>
    <row r="20" spans="1:38" ht="75" x14ac:dyDescent="0.25">
      <c r="A20" s="103" t="s">
        <v>388</v>
      </c>
      <c r="B20" s="107">
        <v>1272</v>
      </c>
      <c r="C20" s="103" t="s">
        <v>1051</v>
      </c>
      <c r="D20" s="103" t="s">
        <v>388</v>
      </c>
      <c r="E20" s="107">
        <v>1272</v>
      </c>
      <c r="F20" s="114">
        <f t="shared" si="0"/>
        <v>1</v>
      </c>
      <c r="G20" s="103" t="s">
        <v>253</v>
      </c>
      <c r="H20" s="103" t="s">
        <v>385</v>
      </c>
      <c r="I20" s="112">
        <v>0</v>
      </c>
      <c r="J20" s="112">
        <v>0</v>
      </c>
      <c r="K20" s="112">
        <v>0</v>
      </c>
      <c r="L20" s="112">
        <v>0</v>
      </c>
      <c r="M20" s="112">
        <v>0</v>
      </c>
      <c r="N20" s="112">
        <v>0</v>
      </c>
      <c r="O20" s="112">
        <f t="shared" si="3"/>
        <v>0</v>
      </c>
      <c r="P20" s="112">
        <f t="shared" si="4"/>
        <v>0</v>
      </c>
      <c r="Q20" s="113" t="s">
        <v>1052</v>
      </c>
      <c r="R20" s="103" t="s">
        <v>1047</v>
      </c>
      <c r="S20" s="103" t="s">
        <v>95</v>
      </c>
      <c r="T20" s="103" t="s">
        <v>1068</v>
      </c>
      <c r="U20" s="103" t="s">
        <v>253</v>
      </c>
      <c r="V20" s="103"/>
      <c r="W20" s="103"/>
      <c r="X20" s="103"/>
      <c r="Y20" s="103" t="s">
        <v>385</v>
      </c>
      <c r="Z20" s="103"/>
      <c r="AA20" s="103"/>
      <c r="AB20" s="103"/>
      <c r="AC20" s="103" t="s">
        <v>391</v>
      </c>
      <c r="AD20" s="103"/>
      <c r="AE20" s="103"/>
      <c r="AF20" s="103"/>
      <c r="AG20" s="103"/>
      <c r="AH20" s="103"/>
      <c r="AI20" s="103" t="s">
        <v>243</v>
      </c>
      <c r="AJ20" s="103" t="s">
        <v>244</v>
      </c>
      <c r="AK20" s="103" t="s">
        <v>1069</v>
      </c>
      <c r="AL20" s="103"/>
    </row>
    <row r="21" spans="1:38" ht="75" x14ac:dyDescent="0.25">
      <c r="A21" s="103" t="s">
        <v>166</v>
      </c>
      <c r="B21" s="107">
        <v>1580</v>
      </c>
      <c r="C21" s="103" t="s">
        <v>394</v>
      </c>
      <c r="D21" s="103" t="s">
        <v>166</v>
      </c>
      <c r="E21" s="107">
        <v>1580</v>
      </c>
      <c r="F21" s="114">
        <f t="shared" si="0"/>
        <v>1</v>
      </c>
      <c r="G21" s="103" t="s">
        <v>253</v>
      </c>
      <c r="H21" s="103" t="s">
        <v>234</v>
      </c>
      <c r="I21" s="112">
        <v>10.5</v>
      </c>
      <c r="J21" s="112">
        <v>2.1</v>
      </c>
      <c r="K21" s="112">
        <v>0.95</v>
      </c>
      <c r="L21" s="112">
        <v>1.95</v>
      </c>
      <c r="M21" s="112">
        <v>15.5</v>
      </c>
      <c r="N21" s="112">
        <v>2040.83</v>
      </c>
      <c r="O21" s="112">
        <f t="shared" si="3"/>
        <v>2040.83</v>
      </c>
      <c r="P21" s="112">
        <f t="shared" si="4"/>
        <v>2040.83</v>
      </c>
      <c r="Q21" s="113">
        <v>47999</v>
      </c>
      <c r="R21" s="103" t="s">
        <v>1047</v>
      </c>
      <c r="S21" s="103" t="s">
        <v>95</v>
      </c>
      <c r="T21" s="103" t="s">
        <v>1068</v>
      </c>
      <c r="U21" s="103" t="s">
        <v>253</v>
      </c>
      <c r="V21" s="103"/>
      <c r="W21" s="103"/>
      <c r="X21" s="103" t="s">
        <v>393</v>
      </c>
      <c r="Y21" s="103" t="s">
        <v>394</v>
      </c>
      <c r="Z21" s="103" t="s">
        <v>398</v>
      </c>
      <c r="AA21" s="103" t="s">
        <v>399</v>
      </c>
      <c r="AB21" s="103" t="s">
        <v>400</v>
      </c>
      <c r="AC21" s="103" t="s">
        <v>401</v>
      </c>
      <c r="AD21" s="103" t="s">
        <v>396</v>
      </c>
      <c r="AE21" s="103"/>
      <c r="AF21" s="103" t="s">
        <v>331</v>
      </c>
      <c r="AG21" s="103" t="s">
        <v>260</v>
      </c>
      <c r="AH21" s="103" t="s">
        <v>371</v>
      </c>
      <c r="AI21" s="103" t="s">
        <v>397</v>
      </c>
      <c r="AJ21" s="103" t="s">
        <v>244</v>
      </c>
      <c r="AK21" s="103" t="s">
        <v>1069</v>
      </c>
      <c r="AL21" s="103"/>
    </row>
    <row r="22" spans="1:38" ht="75" x14ac:dyDescent="0.25">
      <c r="A22" s="103" t="s">
        <v>402</v>
      </c>
      <c r="B22" s="107">
        <v>1580</v>
      </c>
      <c r="C22" s="103" t="s">
        <v>562</v>
      </c>
      <c r="D22" s="103" t="s">
        <v>402</v>
      </c>
      <c r="E22" s="107">
        <v>1580</v>
      </c>
      <c r="F22" s="114">
        <f t="shared" si="0"/>
        <v>1</v>
      </c>
      <c r="G22" s="103" t="s">
        <v>253</v>
      </c>
      <c r="H22" s="103" t="s">
        <v>405</v>
      </c>
      <c r="I22" s="112">
        <v>0</v>
      </c>
      <c r="J22" s="112">
        <v>0</v>
      </c>
      <c r="K22" s="112">
        <v>0</v>
      </c>
      <c r="L22" s="112">
        <v>0</v>
      </c>
      <c r="M22" s="112">
        <v>0</v>
      </c>
      <c r="N22" s="112">
        <v>0</v>
      </c>
      <c r="O22" s="112">
        <v>0</v>
      </c>
      <c r="P22" s="112">
        <v>0</v>
      </c>
      <c r="Q22" s="113" t="s">
        <v>1052</v>
      </c>
      <c r="R22" s="103" t="s">
        <v>1049</v>
      </c>
      <c r="S22" s="103" t="s">
        <v>95</v>
      </c>
      <c r="T22" s="103" t="s">
        <v>1077</v>
      </c>
      <c r="U22" s="103" t="s">
        <v>253</v>
      </c>
      <c r="V22" s="103"/>
      <c r="W22" s="103" t="s">
        <v>1078</v>
      </c>
      <c r="X22" s="103" t="s">
        <v>404</v>
      </c>
      <c r="Y22" s="103" t="s">
        <v>403</v>
      </c>
      <c r="Z22" s="103" t="s">
        <v>408</v>
      </c>
      <c r="AA22" s="103" t="s">
        <v>409</v>
      </c>
      <c r="AB22" s="103" t="s">
        <v>410</v>
      </c>
      <c r="AC22" s="103" t="s">
        <v>411</v>
      </c>
      <c r="AD22" s="103"/>
      <c r="AE22" s="103"/>
      <c r="AF22" s="103"/>
      <c r="AG22" s="103" t="s">
        <v>304</v>
      </c>
      <c r="AH22" s="103"/>
      <c r="AI22" s="103" t="s">
        <v>243</v>
      </c>
      <c r="AJ22" s="103" t="s">
        <v>244</v>
      </c>
      <c r="AK22" s="103" t="s">
        <v>1069</v>
      </c>
      <c r="AL22" s="103" t="s">
        <v>1079</v>
      </c>
    </row>
    <row r="23" spans="1:38" ht="75" x14ac:dyDescent="0.25">
      <c r="A23" s="103" t="s">
        <v>171</v>
      </c>
      <c r="B23" s="107">
        <v>2053</v>
      </c>
      <c r="C23" s="103" t="s">
        <v>412</v>
      </c>
      <c r="D23" s="103" t="s">
        <v>171</v>
      </c>
      <c r="E23" s="107">
        <v>2053</v>
      </c>
      <c r="F23" s="114">
        <f t="shared" si="0"/>
        <v>1</v>
      </c>
      <c r="G23" s="103" t="s">
        <v>253</v>
      </c>
      <c r="H23" s="103" t="s">
        <v>234</v>
      </c>
      <c r="I23" s="112">
        <v>13.5</v>
      </c>
      <c r="J23" s="112">
        <v>2.1</v>
      </c>
      <c r="K23" s="112">
        <v>0.95</v>
      </c>
      <c r="L23" s="112">
        <v>1.95</v>
      </c>
      <c r="M23" s="112">
        <v>18.5</v>
      </c>
      <c r="N23" s="112">
        <v>3165.04</v>
      </c>
      <c r="O23" s="112">
        <f>ROUND(E23*M23/12,2)</f>
        <v>3165.04</v>
      </c>
      <c r="P23" s="112">
        <f>ROUND(O23*F23,2)</f>
        <v>3165.04</v>
      </c>
      <c r="Q23" s="113">
        <v>47787</v>
      </c>
      <c r="R23" s="103" t="s">
        <v>1047</v>
      </c>
      <c r="S23" s="103" t="s">
        <v>95</v>
      </c>
      <c r="T23" s="103" t="s">
        <v>1068</v>
      </c>
      <c r="U23" s="103" t="s">
        <v>253</v>
      </c>
      <c r="V23" s="103"/>
      <c r="W23" s="103"/>
      <c r="X23" s="103" t="s">
        <v>413</v>
      </c>
      <c r="Y23" s="103" t="s">
        <v>412</v>
      </c>
      <c r="Z23" s="103" t="s">
        <v>416</v>
      </c>
      <c r="AA23" s="103" t="s">
        <v>417</v>
      </c>
      <c r="AB23" s="103" t="s">
        <v>418</v>
      </c>
      <c r="AC23" s="103" t="s">
        <v>419</v>
      </c>
      <c r="AD23" s="103" t="s">
        <v>415</v>
      </c>
      <c r="AE23" s="103"/>
      <c r="AF23" s="103" t="s">
        <v>331</v>
      </c>
      <c r="AG23" s="103" t="s">
        <v>260</v>
      </c>
      <c r="AH23" s="103" t="s">
        <v>261</v>
      </c>
      <c r="AI23" s="103" t="s">
        <v>243</v>
      </c>
      <c r="AJ23" s="103" t="s">
        <v>244</v>
      </c>
      <c r="AK23" s="103" t="s">
        <v>1069</v>
      </c>
      <c r="AL23" s="103"/>
    </row>
    <row r="24" spans="1:38" ht="120" x14ac:dyDescent="0.25">
      <c r="A24" s="103" t="s">
        <v>175</v>
      </c>
      <c r="B24" s="107">
        <v>1917</v>
      </c>
      <c r="C24" s="103" t="s">
        <v>420</v>
      </c>
      <c r="D24" s="103" t="s">
        <v>749</v>
      </c>
      <c r="E24" s="107">
        <v>3834</v>
      </c>
      <c r="F24" s="114">
        <f t="shared" si="0"/>
        <v>0.5</v>
      </c>
      <c r="G24" s="103" t="s">
        <v>95</v>
      </c>
      <c r="H24" s="103" t="s">
        <v>234</v>
      </c>
      <c r="I24" s="112">
        <v>13.5</v>
      </c>
      <c r="J24" s="112">
        <v>2.1</v>
      </c>
      <c r="K24" s="112">
        <v>0.95</v>
      </c>
      <c r="L24" s="112">
        <v>1.95</v>
      </c>
      <c r="M24" s="112">
        <v>18.5</v>
      </c>
      <c r="N24" s="112">
        <v>5910.75</v>
      </c>
      <c r="O24" s="112">
        <f>ROUND(E24*M24/12,2)</f>
        <v>5910.75</v>
      </c>
      <c r="P24" s="112">
        <f>ROUND(O24*F24,2)</f>
        <v>2955.38</v>
      </c>
      <c r="Q24" s="113">
        <v>46507</v>
      </c>
      <c r="R24" s="103" t="s">
        <v>1047</v>
      </c>
      <c r="S24" s="103" t="s">
        <v>95</v>
      </c>
      <c r="T24" s="103" t="s">
        <v>1068</v>
      </c>
      <c r="U24" s="103" t="s">
        <v>253</v>
      </c>
      <c r="V24" s="103"/>
      <c r="W24" s="103"/>
      <c r="X24" s="103" t="s">
        <v>421</v>
      </c>
      <c r="Y24" s="103" t="s">
        <v>420</v>
      </c>
      <c r="Z24" s="103" t="s">
        <v>424</v>
      </c>
      <c r="AA24" s="103" t="s">
        <v>425</v>
      </c>
      <c r="AB24" s="103" t="s">
        <v>426</v>
      </c>
      <c r="AC24" s="103" t="s">
        <v>427</v>
      </c>
      <c r="AD24" s="103" t="s">
        <v>423</v>
      </c>
      <c r="AE24" s="103"/>
      <c r="AF24" s="103" t="s">
        <v>331</v>
      </c>
      <c r="AG24" s="103" t="s">
        <v>260</v>
      </c>
      <c r="AH24" s="103" t="s">
        <v>261</v>
      </c>
      <c r="AI24" s="103" t="s">
        <v>243</v>
      </c>
      <c r="AJ24" s="103" t="s">
        <v>244</v>
      </c>
      <c r="AK24" s="103" t="s">
        <v>1069</v>
      </c>
      <c r="AL24" s="103" t="s">
        <v>1072</v>
      </c>
    </row>
    <row r="25" spans="1:38" ht="120" x14ac:dyDescent="0.25">
      <c r="A25" s="103" t="s">
        <v>428</v>
      </c>
      <c r="B25" s="107">
        <v>1917</v>
      </c>
      <c r="C25" s="103" t="s">
        <v>420</v>
      </c>
      <c r="D25" s="103" t="s">
        <v>749</v>
      </c>
      <c r="E25" s="107">
        <v>3834</v>
      </c>
      <c r="F25" s="114">
        <f t="shared" si="0"/>
        <v>0.5</v>
      </c>
      <c r="G25" s="103" t="s">
        <v>95</v>
      </c>
      <c r="H25" s="103" t="s">
        <v>234</v>
      </c>
      <c r="I25" s="112">
        <v>13.5</v>
      </c>
      <c r="J25" s="112">
        <v>2.1</v>
      </c>
      <c r="K25" s="112">
        <v>0.95</v>
      </c>
      <c r="L25" s="112">
        <v>1.95</v>
      </c>
      <c r="M25" s="112">
        <v>18.5</v>
      </c>
      <c r="N25" s="112">
        <v>5910.75</v>
      </c>
      <c r="O25" s="112">
        <f>ROUND(E25*M25/12,2)</f>
        <v>5910.75</v>
      </c>
      <c r="P25" s="112">
        <f>ROUND(O25*F25,2)</f>
        <v>2955.38</v>
      </c>
      <c r="Q25" s="113">
        <v>46507</v>
      </c>
      <c r="R25" s="103" t="s">
        <v>1047</v>
      </c>
      <c r="S25" s="103" t="s">
        <v>95</v>
      </c>
      <c r="T25" s="103" t="s">
        <v>1068</v>
      </c>
      <c r="U25" s="103" t="s">
        <v>253</v>
      </c>
      <c r="V25" s="103"/>
      <c r="W25" s="103"/>
      <c r="X25" s="103" t="s">
        <v>421</v>
      </c>
      <c r="Y25" s="103" t="s">
        <v>420</v>
      </c>
      <c r="Z25" s="103" t="s">
        <v>424</v>
      </c>
      <c r="AA25" s="103" t="s">
        <v>425</v>
      </c>
      <c r="AB25" s="103" t="s">
        <v>426</v>
      </c>
      <c r="AC25" s="103" t="s">
        <v>427</v>
      </c>
      <c r="AD25" s="103" t="s">
        <v>423</v>
      </c>
      <c r="AE25" s="103"/>
      <c r="AF25" s="103" t="s">
        <v>331</v>
      </c>
      <c r="AG25" s="103" t="s">
        <v>260</v>
      </c>
      <c r="AH25" s="103" t="s">
        <v>261</v>
      </c>
      <c r="AI25" s="103" t="s">
        <v>243</v>
      </c>
      <c r="AJ25" s="103" t="s">
        <v>244</v>
      </c>
      <c r="AK25" s="103" t="s">
        <v>1069</v>
      </c>
      <c r="AL25" s="103" t="s">
        <v>1072</v>
      </c>
    </row>
    <row r="26" spans="1:38" ht="75" x14ac:dyDescent="0.25">
      <c r="A26" s="103" t="s">
        <v>117</v>
      </c>
      <c r="B26" s="107">
        <v>1917</v>
      </c>
      <c r="C26" s="103" t="s">
        <v>429</v>
      </c>
      <c r="D26" s="103" t="s">
        <v>117</v>
      </c>
      <c r="E26" s="107">
        <v>1917</v>
      </c>
      <c r="F26" s="114">
        <f t="shared" si="0"/>
        <v>1</v>
      </c>
      <c r="G26" s="103" t="s">
        <v>253</v>
      </c>
      <c r="H26" s="103" t="s">
        <v>234</v>
      </c>
      <c r="I26" s="112">
        <v>16</v>
      </c>
      <c r="J26" s="112">
        <v>2.1</v>
      </c>
      <c r="K26" s="112">
        <v>0.85</v>
      </c>
      <c r="L26" s="112">
        <v>1</v>
      </c>
      <c r="M26" s="112">
        <v>19.95</v>
      </c>
      <c r="N26" s="112">
        <v>3187.01</v>
      </c>
      <c r="O26" s="112">
        <f>ROUND(E26*M26/12,2)</f>
        <v>3187.01</v>
      </c>
      <c r="P26" s="112">
        <f>ROUND(O26*F26,2)</f>
        <v>3187.01</v>
      </c>
      <c r="Q26" s="113">
        <v>47879</v>
      </c>
      <c r="R26" s="103" t="s">
        <v>1047</v>
      </c>
      <c r="S26" s="103" t="s">
        <v>95</v>
      </c>
      <c r="T26" s="103" t="s">
        <v>1068</v>
      </c>
      <c r="U26" s="103" t="s">
        <v>253</v>
      </c>
      <c r="V26" s="103"/>
      <c r="W26" s="103"/>
      <c r="X26" s="103" t="s">
        <v>430</v>
      </c>
      <c r="Y26" s="103" t="s">
        <v>429</v>
      </c>
      <c r="Z26" s="103"/>
      <c r="AA26" s="103" t="s">
        <v>433</v>
      </c>
      <c r="AB26" s="103" t="s">
        <v>434</v>
      </c>
      <c r="AC26" s="103" t="s">
        <v>435</v>
      </c>
      <c r="AD26" s="103" t="s">
        <v>432</v>
      </c>
      <c r="AE26" s="103"/>
      <c r="AF26" s="103" t="s">
        <v>331</v>
      </c>
      <c r="AG26" s="103" t="s">
        <v>260</v>
      </c>
      <c r="AH26" s="103" t="s">
        <v>261</v>
      </c>
      <c r="AI26" s="103" t="s">
        <v>243</v>
      </c>
      <c r="AJ26" s="103" t="s">
        <v>244</v>
      </c>
      <c r="AK26" s="103" t="s">
        <v>1069</v>
      </c>
      <c r="AL26" s="103"/>
    </row>
    <row r="27" spans="1:38" ht="120" x14ac:dyDescent="0.25">
      <c r="A27" s="103" t="s">
        <v>121</v>
      </c>
      <c r="B27" s="107">
        <v>1917</v>
      </c>
      <c r="C27" s="103" t="s">
        <v>436</v>
      </c>
      <c r="D27" s="103" t="s">
        <v>121</v>
      </c>
      <c r="E27" s="107">
        <v>1917</v>
      </c>
      <c r="F27" s="114">
        <f t="shared" si="0"/>
        <v>1</v>
      </c>
      <c r="G27" s="103" t="s">
        <v>253</v>
      </c>
      <c r="H27" s="103" t="s">
        <v>234</v>
      </c>
      <c r="I27" s="112">
        <v>14.95</v>
      </c>
      <c r="J27" s="112">
        <v>2.1</v>
      </c>
      <c r="K27" s="112">
        <v>0.95</v>
      </c>
      <c r="L27" s="112">
        <v>1.95</v>
      </c>
      <c r="M27" s="112">
        <v>19.95</v>
      </c>
      <c r="N27" s="112">
        <v>3187.01</v>
      </c>
      <c r="O27" s="112">
        <v>3187.01</v>
      </c>
      <c r="P27" s="112">
        <v>3187.01</v>
      </c>
      <c r="Q27" s="113">
        <v>47879</v>
      </c>
      <c r="R27" s="103" t="s">
        <v>1049</v>
      </c>
      <c r="S27" s="103" t="s">
        <v>95</v>
      </c>
      <c r="T27" s="103" t="s">
        <v>438</v>
      </c>
      <c r="U27" s="103" t="s">
        <v>253</v>
      </c>
      <c r="V27" s="103"/>
      <c r="W27" s="103" t="s">
        <v>1080</v>
      </c>
      <c r="X27" s="103" t="s">
        <v>437</v>
      </c>
      <c r="Y27" s="103" t="s">
        <v>436</v>
      </c>
      <c r="Z27" s="103"/>
      <c r="AA27" s="103" t="s">
        <v>440</v>
      </c>
      <c r="AB27" s="103" t="s">
        <v>441</v>
      </c>
      <c r="AC27" s="103" t="s">
        <v>442</v>
      </c>
      <c r="AD27" s="103"/>
      <c r="AE27" s="103"/>
      <c r="AF27" s="103"/>
      <c r="AG27" s="103" t="s">
        <v>304</v>
      </c>
      <c r="AH27" s="103"/>
      <c r="AI27" s="103" t="s">
        <v>243</v>
      </c>
      <c r="AJ27" s="103" t="s">
        <v>244</v>
      </c>
      <c r="AK27" s="103" t="s">
        <v>1069</v>
      </c>
      <c r="AL27" s="103" t="s">
        <v>1081</v>
      </c>
    </row>
    <row r="28" spans="1:38" ht="75" x14ac:dyDescent="0.25">
      <c r="A28" s="103" t="s">
        <v>127</v>
      </c>
      <c r="B28" s="107">
        <v>4613</v>
      </c>
      <c r="C28" s="103" t="s">
        <v>443</v>
      </c>
      <c r="D28" s="103" t="s">
        <v>127</v>
      </c>
      <c r="E28" s="107">
        <v>4613</v>
      </c>
      <c r="F28" s="114">
        <f t="shared" si="0"/>
        <v>1</v>
      </c>
      <c r="G28" s="103" t="s">
        <v>253</v>
      </c>
      <c r="H28" s="103" t="s">
        <v>234</v>
      </c>
      <c r="I28" s="112">
        <v>16.25</v>
      </c>
      <c r="J28" s="112">
        <v>2.1</v>
      </c>
      <c r="K28" s="112">
        <v>0.85</v>
      </c>
      <c r="L28" s="112">
        <v>1</v>
      </c>
      <c r="M28" s="112">
        <v>20.2</v>
      </c>
      <c r="N28" s="112">
        <v>7765.22</v>
      </c>
      <c r="O28" s="112">
        <f>ROUND(E28*M28/12,2)</f>
        <v>7765.22</v>
      </c>
      <c r="P28" s="112">
        <f>ROUND(O28*F28,2)</f>
        <v>7765.22</v>
      </c>
      <c r="Q28" s="113">
        <v>47787</v>
      </c>
      <c r="R28" s="103" t="s">
        <v>1047</v>
      </c>
      <c r="S28" s="103" t="s">
        <v>95</v>
      </c>
      <c r="T28" s="103" t="s">
        <v>1082</v>
      </c>
      <c r="U28" s="103" t="s">
        <v>253</v>
      </c>
      <c r="V28" s="103"/>
      <c r="W28" s="103"/>
      <c r="X28" s="103" t="s">
        <v>444</v>
      </c>
      <c r="Y28" s="103" t="s">
        <v>445</v>
      </c>
      <c r="Z28" s="103" t="s">
        <v>449</v>
      </c>
      <c r="AA28" s="103" t="s">
        <v>450</v>
      </c>
      <c r="AB28" s="103" t="s">
        <v>451</v>
      </c>
      <c r="AC28" s="103" t="s">
        <v>452</v>
      </c>
      <c r="AD28" s="103" t="s">
        <v>447</v>
      </c>
      <c r="AE28" s="103" t="s">
        <v>448</v>
      </c>
      <c r="AF28" s="103" t="s">
        <v>331</v>
      </c>
      <c r="AG28" s="103" t="s">
        <v>260</v>
      </c>
      <c r="AH28" s="103" t="s">
        <v>261</v>
      </c>
      <c r="AI28" s="103" t="s">
        <v>243</v>
      </c>
      <c r="AJ28" s="103" t="s">
        <v>244</v>
      </c>
      <c r="AK28" s="103" t="s">
        <v>1069</v>
      </c>
      <c r="AL28" s="103"/>
    </row>
  </sheetData>
  <conditionalFormatting sqref="A2:AL28">
    <cfRule type="expression" dxfId="2" priority="1">
      <formula>$U2="YES"</formula>
    </cfRule>
    <cfRule type="expression" dxfId="1" priority="2">
      <formula>$H2="VACANT"</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0"/>
  <sheetViews>
    <sheetView workbookViewId="0"/>
  </sheetViews>
  <sheetFormatPr defaultRowHeight="15" x14ac:dyDescent="0.25"/>
  <cols>
    <col min="1" max="1" width="16" customWidth="1"/>
    <col min="2" max="5" width="38" customWidth="1"/>
    <col min="6" max="6" width="16" customWidth="1"/>
    <col min="7" max="7" width="36" customWidth="1"/>
  </cols>
  <sheetData>
    <row r="1" spans="1:7" ht="30" x14ac:dyDescent="0.25">
      <c r="A1" s="111" t="s">
        <v>76</v>
      </c>
      <c r="B1" s="111" t="s">
        <v>1083</v>
      </c>
      <c r="C1" s="111" t="s">
        <v>1084</v>
      </c>
      <c r="D1" s="111" t="s">
        <v>1085</v>
      </c>
      <c r="E1" s="111" t="s">
        <v>82</v>
      </c>
      <c r="F1" s="111" t="s">
        <v>460</v>
      </c>
      <c r="G1" s="111" t="s">
        <v>1086</v>
      </c>
    </row>
    <row r="2" spans="1:7" ht="30" x14ac:dyDescent="0.25">
      <c r="A2" s="103" t="s">
        <v>88</v>
      </c>
      <c r="B2" s="103" t="s">
        <v>1087</v>
      </c>
      <c r="C2" s="103" t="s">
        <v>1088</v>
      </c>
      <c r="D2" s="103" t="s">
        <v>1089</v>
      </c>
      <c r="E2" s="103" t="s">
        <v>1090</v>
      </c>
      <c r="F2" s="103" t="s">
        <v>253</v>
      </c>
      <c r="G2" s="103" t="s">
        <v>1091</v>
      </c>
    </row>
    <row r="3" spans="1:7" ht="60" x14ac:dyDescent="0.25">
      <c r="A3" s="103" t="s">
        <v>88</v>
      </c>
      <c r="B3" s="103" t="s">
        <v>1092</v>
      </c>
      <c r="C3" s="103" t="s">
        <v>1093</v>
      </c>
      <c r="D3" s="103" t="s">
        <v>1094</v>
      </c>
      <c r="E3" s="103" t="s">
        <v>1095</v>
      </c>
      <c r="F3" s="103" t="s">
        <v>253</v>
      </c>
      <c r="G3" s="103" t="s">
        <v>1096</v>
      </c>
    </row>
    <row r="4" spans="1:7" ht="30" x14ac:dyDescent="0.25">
      <c r="A4" s="103" t="s">
        <v>88</v>
      </c>
      <c r="B4" s="103" t="s">
        <v>1097</v>
      </c>
      <c r="C4" s="103" t="s">
        <v>1098</v>
      </c>
      <c r="D4" s="103" t="s">
        <v>1099</v>
      </c>
      <c r="E4" s="103" t="s">
        <v>1100</v>
      </c>
      <c r="F4" s="103" t="s">
        <v>253</v>
      </c>
      <c r="G4" s="103" t="s">
        <v>1101</v>
      </c>
    </row>
    <row r="5" spans="1:7" ht="30" x14ac:dyDescent="0.25">
      <c r="A5" s="103" t="s">
        <v>88</v>
      </c>
      <c r="B5" s="103" t="s">
        <v>1102</v>
      </c>
      <c r="C5" s="103" t="s">
        <v>1103</v>
      </c>
      <c r="D5" s="103" t="s">
        <v>1104</v>
      </c>
      <c r="E5" s="103" t="s">
        <v>340</v>
      </c>
      <c r="F5" s="103" t="s">
        <v>253</v>
      </c>
      <c r="G5" s="103" t="s">
        <v>1101</v>
      </c>
    </row>
    <row r="6" spans="1:7" ht="30" x14ac:dyDescent="0.25">
      <c r="A6" s="103" t="s">
        <v>88</v>
      </c>
      <c r="B6" s="103" t="s">
        <v>443</v>
      </c>
      <c r="C6" s="103" t="s">
        <v>1105</v>
      </c>
      <c r="D6" s="103" t="s">
        <v>1106</v>
      </c>
      <c r="E6" s="103" t="s">
        <v>1107</v>
      </c>
      <c r="F6" s="103" t="s">
        <v>253</v>
      </c>
      <c r="G6" s="103" t="s">
        <v>1101</v>
      </c>
    </row>
    <row r="7" spans="1:7" ht="45" x14ac:dyDescent="0.25">
      <c r="A7" s="103" t="s">
        <v>133</v>
      </c>
      <c r="B7" s="103" t="s">
        <v>14</v>
      </c>
      <c r="C7" s="103" t="s">
        <v>1108</v>
      </c>
      <c r="D7" s="103" t="s">
        <v>1109</v>
      </c>
      <c r="E7" s="103" t="s">
        <v>1110</v>
      </c>
      <c r="F7" s="103" t="s">
        <v>253</v>
      </c>
      <c r="G7" s="103" t="s">
        <v>1111</v>
      </c>
    </row>
    <row r="8" spans="1:7" ht="30" x14ac:dyDescent="0.25">
      <c r="A8" s="103" t="s">
        <v>133</v>
      </c>
      <c r="B8" s="103" t="s">
        <v>1112</v>
      </c>
      <c r="C8" s="103" t="s">
        <v>1113</v>
      </c>
      <c r="D8" s="103" t="s">
        <v>1114</v>
      </c>
      <c r="E8" s="103" t="s">
        <v>1115</v>
      </c>
      <c r="F8" s="103" t="s">
        <v>253</v>
      </c>
      <c r="G8" s="103" t="s">
        <v>1101</v>
      </c>
    </row>
    <row r="9" spans="1:7" ht="45" x14ac:dyDescent="0.25">
      <c r="A9" s="103" t="s">
        <v>88</v>
      </c>
      <c r="B9" s="103" t="s">
        <v>1116</v>
      </c>
      <c r="C9" s="103" t="s">
        <v>1117</v>
      </c>
      <c r="D9" s="103" t="s">
        <v>1118</v>
      </c>
      <c r="E9" s="103" t="s">
        <v>1119</v>
      </c>
      <c r="F9" s="103" t="s">
        <v>253</v>
      </c>
      <c r="G9" s="103" t="s">
        <v>1120</v>
      </c>
    </row>
    <row r="10" spans="1:7" ht="45" x14ac:dyDescent="0.25">
      <c r="A10" s="103" t="s">
        <v>133</v>
      </c>
      <c r="B10" s="103" t="s">
        <v>1121</v>
      </c>
      <c r="C10" s="103" t="s">
        <v>1122</v>
      </c>
      <c r="D10" s="103" t="s">
        <v>1123</v>
      </c>
      <c r="E10" s="103" t="s">
        <v>340</v>
      </c>
      <c r="F10" s="103" t="s">
        <v>253</v>
      </c>
      <c r="G10" s="103" t="s">
        <v>1101</v>
      </c>
    </row>
  </sheetData>
  <conditionalFormatting sqref="A2:G10">
    <cfRule type="expression" dxfId="0" priority="1">
      <formula>$F2="YES"</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3"/>
  <sheetViews>
    <sheetView workbookViewId="0"/>
  </sheetViews>
  <sheetFormatPr defaultRowHeight="15" x14ac:dyDescent="0.25"/>
  <cols>
    <col min="1" max="3" width="34" customWidth="1"/>
  </cols>
  <sheetData>
    <row r="1" spans="1:3" x14ac:dyDescent="0.25">
      <c r="A1" s="111" t="s">
        <v>1124</v>
      </c>
      <c r="B1" s="111" t="s">
        <v>1125</v>
      </c>
      <c r="C1" s="111" t="s">
        <v>1126</v>
      </c>
    </row>
    <row r="2" spans="1:3" ht="30" x14ac:dyDescent="0.25">
      <c r="A2" s="103" t="s">
        <v>1127</v>
      </c>
      <c r="B2" s="115">
        <v>27</v>
      </c>
      <c r="C2" s="103" t="s">
        <v>1128</v>
      </c>
    </row>
    <row r="3" spans="1:3" ht="30" x14ac:dyDescent="0.25">
      <c r="A3" s="103" t="s">
        <v>1129</v>
      </c>
      <c r="B3" s="115">
        <v>23</v>
      </c>
      <c r="C3" s="103" t="s">
        <v>1130</v>
      </c>
    </row>
    <row r="4" spans="1:3" ht="30" x14ac:dyDescent="0.25">
      <c r="A4" s="103" t="s">
        <v>1131</v>
      </c>
      <c r="B4" s="115">
        <v>62810</v>
      </c>
      <c r="C4" s="103" t="s">
        <v>1132</v>
      </c>
    </row>
    <row r="5" spans="1:3" x14ac:dyDescent="0.25">
      <c r="A5" s="103" t="s">
        <v>1133</v>
      </c>
      <c r="B5" s="115">
        <v>62810</v>
      </c>
      <c r="C5" s="103" t="s">
        <v>1134</v>
      </c>
    </row>
    <row r="6" spans="1:3" ht="30" x14ac:dyDescent="0.25">
      <c r="A6" s="103" t="s">
        <v>1135</v>
      </c>
      <c r="B6" s="115">
        <v>0</v>
      </c>
      <c r="C6" s="103" t="s">
        <v>1136</v>
      </c>
    </row>
    <row r="7" spans="1:3" ht="45" x14ac:dyDescent="0.25">
      <c r="A7" s="103" t="s">
        <v>1137</v>
      </c>
      <c r="B7" s="115">
        <v>90291.21</v>
      </c>
      <c r="C7" s="103" t="s">
        <v>1138</v>
      </c>
    </row>
    <row r="8" spans="1:3" ht="30" x14ac:dyDescent="0.25">
      <c r="A8" s="103" t="s">
        <v>1139</v>
      </c>
      <c r="B8" s="115">
        <v>90291.199999999997</v>
      </c>
      <c r="C8" s="103" t="s">
        <v>1140</v>
      </c>
    </row>
    <row r="9" spans="1:3" ht="45" x14ac:dyDescent="0.25">
      <c r="A9" s="103" t="s">
        <v>1141</v>
      </c>
      <c r="B9" s="115">
        <v>90296.04</v>
      </c>
      <c r="C9" s="103" t="s">
        <v>1142</v>
      </c>
    </row>
    <row r="10" spans="1:3" ht="45" x14ac:dyDescent="0.25">
      <c r="A10" s="103" t="s">
        <v>1143</v>
      </c>
      <c r="B10" s="115">
        <v>-4.83</v>
      </c>
      <c r="C10" s="103" t="s">
        <v>1144</v>
      </c>
    </row>
    <row r="11" spans="1:3" ht="60" x14ac:dyDescent="0.25">
      <c r="A11" s="103" t="s">
        <v>1145</v>
      </c>
      <c r="B11" s="115">
        <v>0</v>
      </c>
      <c r="C11" s="103" t="s">
        <v>1146</v>
      </c>
    </row>
    <row r="12" spans="1:3" x14ac:dyDescent="0.25">
      <c r="A12" s="103" t="s">
        <v>1147</v>
      </c>
      <c r="B12" s="115" t="s">
        <v>1148</v>
      </c>
      <c r="C12" s="103" t="s">
        <v>1149</v>
      </c>
    </row>
    <row r="13" spans="1:3" ht="30" x14ac:dyDescent="0.25">
      <c r="A13" s="103" t="s">
        <v>1150</v>
      </c>
      <c r="B13" s="115" t="s">
        <v>1151</v>
      </c>
      <c r="C13" s="103" t="s">
        <v>1152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4"/>
  <sheetViews>
    <sheetView workbookViewId="0"/>
  </sheetViews>
  <sheetFormatPr defaultRowHeight="15" x14ac:dyDescent="0.25"/>
  <cols>
    <col min="1" max="1" width="16" customWidth="1"/>
    <col min="2" max="2" width="28" customWidth="1"/>
    <col min="3" max="11" width="16" customWidth="1"/>
    <col min="12" max="12" width="50" customWidth="1"/>
  </cols>
  <sheetData>
    <row r="1" spans="1:12" ht="30" x14ac:dyDescent="0.25">
      <c r="A1" s="111" t="s">
        <v>1153</v>
      </c>
      <c r="B1" s="111" t="s">
        <v>1009</v>
      </c>
      <c r="C1" s="111" t="s">
        <v>1033</v>
      </c>
      <c r="D1" s="111" t="s">
        <v>1034</v>
      </c>
      <c r="E1" s="111" t="s">
        <v>1035</v>
      </c>
      <c r="F1" s="111" t="s">
        <v>1036</v>
      </c>
      <c r="G1" s="111" t="s">
        <v>1037</v>
      </c>
      <c r="H1" s="111" t="s">
        <v>1060</v>
      </c>
      <c r="I1" s="111" t="s">
        <v>1154</v>
      </c>
      <c r="J1" s="111" t="s">
        <v>1044</v>
      </c>
      <c r="K1" s="111" t="s">
        <v>1155</v>
      </c>
      <c r="L1" s="111" t="s">
        <v>1156</v>
      </c>
    </row>
    <row r="2" spans="1:12" ht="45" x14ac:dyDescent="0.25">
      <c r="A2" s="103" t="s">
        <v>135</v>
      </c>
      <c r="B2" s="103" t="s">
        <v>233</v>
      </c>
      <c r="C2" s="107">
        <v>9931</v>
      </c>
      <c r="D2" s="112">
        <v>15.35</v>
      </c>
      <c r="E2" s="112">
        <v>2.1</v>
      </c>
      <c r="F2" s="112">
        <v>0.9</v>
      </c>
      <c r="G2" s="112">
        <v>1</v>
      </c>
      <c r="H2" s="112">
        <v>19.350000000000001</v>
      </c>
      <c r="I2" s="112">
        <v>16008.9</v>
      </c>
      <c r="J2" s="113">
        <v>46446</v>
      </c>
      <c r="K2" s="103" t="s">
        <v>234</v>
      </c>
      <c r="L2" s="103" t="s">
        <v>1157</v>
      </c>
    </row>
    <row r="3" spans="1:12" x14ac:dyDescent="0.25">
      <c r="A3" s="103" t="s">
        <v>89</v>
      </c>
      <c r="B3" s="103" t="s">
        <v>251</v>
      </c>
      <c r="C3" s="107">
        <v>2222</v>
      </c>
      <c r="D3" s="112">
        <v>13.5</v>
      </c>
      <c r="E3" s="112">
        <v>2.1</v>
      </c>
      <c r="F3" s="112">
        <v>0.85</v>
      </c>
      <c r="G3" s="112">
        <v>1</v>
      </c>
      <c r="H3" s="112">
        <v>17.45</v>
      </c>
      <c r="I3" s="112">
        <v>3231.16</v>
      </c>
      <c r="J3" s="113">
        <v>47208</v>
      </c>
      <c r="K3" s="103" t="s">
        <v>234</v>
      </c>
      <c r="L3" s="103" t="s">
        <v>1158</v>
      </c>
    </row>
    <row r="4" spans="1:12" x14ac:dyDescent="0.25">
      <c r="A4" s="103" t="s">
        <v>139</v>
      </c>
      <c r="B4" s="103" t="s">
        <v>268</v>
      </c>
      <c r="C4" s="107">
        <v>1743</v>
      </c>
      <c r="D4" s="112">
        <v>13.5</v>
      </c>
      <c r="E4" s="112">
        <v>2.1</v>
      </c>
      <c r="F4" s="112">
        <v>0.9</v>
      </c>
      <c r="G4" s="112">
        <v>1</v>
      </c>
      <c r="H4" s="112">
        <v>17.5</v>
      </c>
      <c r="I4" s="112">
        <v>2541.88</v>
      </c>
      <c r="J4" s="113">
        <v>46477</v>
      </c>
      <c r="K4" s="103" t="s">
        <v>234</v>
      </c>
      <c r="L4" s="103" t="s">
        <v>1158</v>
      </c>
    </row>
    <row r="5" spans="1:12" x14ac:dyDescent="0.25">
      <c r="A5" s="103" t="s">
        <v>99</v>
      </c>
      <c r="B5" s="103" t="s">
        <v>280</v>
      </c>
      <c r="C5" s="107">
        <v>2546</v>
      </c>
      <c r="D5" s="112">
        <v>14</v>
      </c>
      <c r="E5" s="112">
        <v>2.1</v>
      </c>
      <c r="F5" s="112">
        <v>0.85</v>
      </c>
      <c r="G5" s="112">
        <v>1</v>
      </c>
      <c r="H5" s="112">
        <v>17.95</v>
      </c>
      <c r="I5" s="112">
        <v>3808.39</v>
      </c>
      <c r="J5" s="113">
        <v>47026</v>
      </c>
      <c r="K5" s="103" t="s">
        <v>234</v>
      </c>
      <c r="L5" s="103" t="s">
        <v>1158</v>
      </c>
    </row>
    <row r="6" spans="1:12" x14ac:dyDescent="0.25">
      <c r="A6" s="103" t="s">
        <v>143</v>
      </c>
      <c r="B6" s="103" t="s">
        <v>290</v>
      </c>
      <c r="C6" s="107">
        <v>1690</v>
      </c>
      <c r="D6" s="112">
        <v>13.5</v>
      </c>
      <c r="E6" s="112">
        <v>2.1</v>
      </c>
      <c r="F6" s="112">
        <v>0.95</v>
      </c>
      <c r="G6" s="112">
        <v>1.95</v>
      </c>
      <c r="H6" s="112">
        <v>18.5</v>
      </c>
      <c r="I6" s="112">
        <v>2605.42</v>
      </c>
      <c r="J6" s="113">
        <v>46418</v>
      </c>
      <c r="K6" s="103" t="s">
        <v>234</v>
      </c>
      <c r="L6" s="103" t="s">
        <v>1158</v>
      </c>
    </row>
    <row r="7" spans="1:12" x14ac:dyDescent="0.25">
      <c r="A7" s="103" t="s">
        <v>298</v>
      </c>
      <c r="B7" s="103" t="s">
        <v>299</v>
      </c>
      <c r="C7" s="107">
        <v>2606</v>
      </c>
      <c r="D7" s="112">
        <v>13.5</v>
      </c>
      <c r="E7" s="112">
        <v>2.1</v>
      </c>
      <c r="F7" s="112">
        <v>0.95</v>
      </c>
      <c r="G7" s="112">
        <v>1.95</v>
      </c>
      <c r="H7" s="112">
        <v>18.5</v>
      </c>
      <c r="I7" s="112">
        <v>4017.58</v>
      </c>
      <c r="J7" s="113">
        <v>46568</v>
      </c>
      <c r="K7" s="103" t="s">
        <v>234</v>
      </c>
      <c r="L7" s="103" t="s">
        <v>1158</v>
      </c>
    </row>
    <row r="8" spans="1:12" ht="45" x14ac:dyDescent="0.25">
      <c r="A8" s="103" t="s">
        <v>148</v>
      </c>
      <c r="B8" s="103" t="s">
        <v>311</v>
      </c>
      <c r="C8" s="107">
        <v>4340</v>
      </c>
      <c r="D8" s="112">
        <v>13.5</v>
      </c>
      <c r="E8" s="112">
        <v>2.1</v>
      </c>
      <c r="F8" s="112">
        <v>0.95</v>
      </c>
      <c r="G8" s="112">
        <v>1.85</v>
      </c>
      <c r="H8" s="112">
        <v>18.399999999999999</v>
      </c>
      <c r="I8" s="112">
        <v>6654.67</v>
      </c>
      <c r="J8" s="113">
        <v>46295</v>
      </c>
      <c r="K8" s="103" t="s">
        <v>234</v>
      </c>
      <c r="L8" s="103" t="s">
        <v>1159</v>
      </c>
    </row>
    <row r="9" spans="1:12" x14ac:dyDescent="0.25">
      <c r="A9" s="103" t="s">
        <v>103</v>
      </c>
      <c r="B9" s="103" t="s">
        <v>321</v>
      </c>
      <c r="C9" s="107">
        <v>1769</v>
      </c>
      <c r="D9" s="112">
        <v>14</v>
      </c>
      <c r="E9" s="112">
        <v>2.1</v>
      </c>
      <c r="F9" s="112">
        <v>0.95</v>
      </c>
      <c r="G9" s="112">
        <v>1.95</v>
      </c>
      <c r="H9" s="112">
        <v>19</v>
      </c>
      <c r="I9" s="112">
        <v>2800.92</v>
      </c>
      <c r="J9" s="113">
        <v>47177</v>
      </c>
      <c r="K9" s="103" t="s">
        <v>234</v>
      </c>
      <c r="L9" s="103" t="s">
        <v>1158</v>
      </c>
    </row>
    <row r="10" spans="1:12" x14ac:dyDescent="0.25">
      <c r="A10" s="103" t="s">
        <v>106</v>
      </c>
      <c r="B10" s="103" t="s">
        <v>327</v>
      </c>
      <c r="C10" s="107">
        <v>1982</v>
      </c>
      <c r="D10" s="112">
        <v>13.5</v>
      </c>
      <c r="E10" s="112">
        <v>2.1</v>
      </c>
      <c r="F10" s="112">
        <v>0.9</v>
      </c>
      <c r="G10" s="112">
        <v>1</v>
      </c>
      <c r="H10" s="112">
        <v>17.5</v>
      </c>
      <c r="I10" s="112">
        <v>2890.42</v>
      </c>
      <c r="J10" s="113">
        <v>46446</v>
      </c>
      <c r="K10" s="103" t="s">
        <v>234</v>
      </c>
      <c r="L10" s="103" t="s">
        <v>1158</v>
      </c>
    </row>
    <row r="11" spans="1:12" ht="30" x14ac:dyDescent="0.25">
      <c r="A11" s="103" t="s">
        <v>109</v>
      </c>
      <c r="B11" s="103" t="s">
        <v>337</v>
      </c>
      <c r="C11" s="107">
        <v>1974</v>
      </c>
      <c r="D11" s="112">
        <v>14</v>
      </c>
      <c r="E11" s="112">
        <v>2.1</v>
      </c>
      <c r="F11" s="112">
        <v>1.2</v>
      </c>
      <c r="G11" s="112">
        <v>1.1499999999999999</v>
      </c>
      <c r="H11" s="112">
        <v>18.45</v>
      </c>
      <c r="I11" s="112">
        <v>3035.03</v>
      </c>
      <c r="J11" s="113">
        <v>47177</v>
      </c>
      <c r="K11" s="103" t="s">
        <v>234</v>
      </c>
      <c r="L11" s="103" t="s">
        <v>1160</v>
      </c>
    </row>
    <row r="12" spans="1:12" x14ac:dyDescent="0.25">
      <c r="A12" s="103" t="s">
        <v>111</v>
      </c>
      <c r="B12" s="103" t="s">
        <v>349</v>
      </c>
      <c r="C12" s="107">
        <v>1709</v>
      </c>
      <c r="D12" s="112">
        <v>12.75</v>
      </c>
      <c r="E12" s="112">
        <v>2.1</v>
      </c>
      <c r="F12" s="112">
        <v>0.95</v>
      </c>
      <c r="G12" s="112">
        <v>1.95</v>
      </c>
      <c r="H12" s="112">
        <v>17.75</v>
      </c>
      <c r="I12" s="112">
        <v>2527.9</v>
      </c>
      <c r="J12" s="113">
        <v>48213</v>
      </c>
      <c r="K12" s="103" t="s">
        <v>234</v>
      </c>
      <c r="L12" s="103" t="s">
        <v>1158</v>
      </c>
    </row>
    <row r="13" spans="1:12" x14ac:dyDescent="0.25">
      <c r="A13" s="103" t="s">
        <v>358</v>
      </c>
      <c r="B13" s="103" t="s">
        <v>359</v>
      </c>
      <c r="C13" s="107">
        <v>3563</v>
      </c>
      <c r="D13" s="112">
        <v>13.5</v>
      </c>
      <c r="E13" s="112">
        <v>2.1</v>
      </c>
      <c r="F13" s="112">
        <v>0.95</v>
      </c>
      <c r="G13" s="112">
        <v>1.95</v>
      </c>
      <c r="H13" s="112">
        <v>18.5</v>
      </c>
      <c r="I13" s="112">
        <v>5492.96</v>
      </c>
      <c r="J13" s="113">
        <v>47483</v>
      </c>
      <c r="K13" s="103" t="s">
        <v>234</v>
      </c>
      <c r="L13" s="103" t="s">
        <v>1158</v>
      </c>
    </row>
    <row r="14" spans="1:12" ht="45" x14ac:dyDescent="0.25">
      <c r="A14" s="103" t="s">
        <v>153</v>
      </c>
      <c r="B14" s="103" t="s">
        <v>367</v>
      </c>
      <c r="C14" s="107">
        <v>4273</v>
      </c>
      <c r="D14" s="112">
        <v>13.5</v>
      </c>
      <c r="E14" s="112">
        <v>2.1</v>
      </c>
      <c r="F14" s="112">
        <v>0.95</v>
      </c>
      <c r="G14" s="112">
        <v>1.95</v>
      </c>
      <c r="H14" s="112">
        <v>18.5</v>
      </c>
      <c r="I14" s="112">
        <v>6587.54</v>
      </c>
      <c r="J14" s="113">
        <v>46873</v>
      </c>
      <c r="K14" s="103" t="s">
        <v>234</v>
      </c>
      <c r="L14" s="103" t="s">
        <v>1159</v>
      </c>
    </row>
    <row r="15" spans="1:12" x14ac:dyDescent="0.25">
      <c r="A15" s="103" t="s">
        <v>157</v>
      </c>
      <c r="B15" s="103" t="s">
        <v>377</v>
      </c>
      <c r="C15" s="107">
        <v>1789</v>
      </c>
      <c r="D15" s="112">
        <v>14</v>
      </c>
      <c r="E15" s="112">
        <v>2.1</v>
      </c>
      <c r="F15" s="112">
        <v>0.95</v>
      </c>
      <c r="G15" s="112">
        <v>1.95</v>
      </c>
      <c r="H15" s="112">
        <v>19</v>
      </c>
      <c r="I15" s="112">
        <v>2832.58</v>
      </c>
      <c r="J15" s="113">
        <v>47361</v>
      </c>
      <c r="K15" s="103" t="s">
        <v>234</v>
      </c>
      <c r="L15" s="103" t="s">
        <v>1158</v>
      </c>
    </row>
    <row r="16" spans="1:12" x14ac:dyDescent="0.25">
      <c r="A16" s="103" t="s">
        <v>161</v>
      </c>
      <c r="B16" s="103" t="s">
        <v>1051</v>
      </c>
      <c r="C16" s="107">
        <v>1907</v>
      </c>
      <c r="D16" s="112">
        <v>0</v>
      </c>
      <c r="E16" s="112">
        <v>0</v>
      </c>
      <c r="F16" s="112">
        <v>0</v>
      </c>
      <c r="G16" s="112">
        <v>0</v>
      </c>
      <c r="H16" s="112">
        <v>0</v>
      </c>
      <c r="I16" s="112">
        <v>0</v>
      </c>
      <c r="J16" s="113" t="s">
        <v>1052</v>
      </c>
      <c r="K16" s="103" t="s">
        <v>385</v>
      </c>
      <c r="L16" s="103" t="s">
        <v>1158</v>
      </c>
    </row>
    <row r="17" spans="1:12" x14ac:dyDescent="0.25">
      <c r="A17" s="103" t="s">
        <v>388</v>
      </c>
      <c r="B17" s="103" t="s">
        <v>1051</v>
      </c>
      <c r="C17" s="107">
        <v>1272</v>
      </c>
      <c r="D17" s="112">
        <v>0</v>
      </c>
      <c r="E17" s="112">
        <v>0</v>
      </c>
      <c r="F17" s="112">
        <v>0</v>
      </c>
      <c r="G17" s="112">
        <v>0</v>
      </c>
      <c r="H17" s="112">
        <v>0</v>
      </c>
      <c r="I17" s="112">
        <v>0</v>
      </c>
      <c r="J17" s="113" t="s">
        <v>1052</v>
      </c>
      <c r="K17" s="103" t="s">
        <v>385</v>
      </c>
      <c r="L17" s="103" t="s">
        <v>1158</v>
      </c>
    </row>
    <row r="18" spans="1:12" x14ac:dyDescent="0.25">
      <c r="A18" s="103" t="s">
        <v>166</v>
      </c>
      <c r="B18" s="103" t="s">
        <v>394</v>
      </c>
      <c r="C18" s="107">
        <v>1580</v>
      </c>
      <c r="D18" s="112">
        <v>10.5</v>
      </c>
      <c r="E18" s="112">
        <v>2.1</v>
      </c>
      <c r="F18" s="112">
        <v>0.95</v>
      </c>
      <c r="G18" s="112">
        <v>1.95</v>
      </c>
      <c r="H18" s="112">
        <v>15.5</v>
      </c>
      <c r="I18" s="112">
        <v>2040.83</v>
      </c>
      <c r="J18" s="113">
        <v>47999</v>
      </c>
      <c r="K18" s="103" t="s">
        <v>234</v>
      </c>
      <c r="L18" s="103" t="s">
        <v>1158</v>
      </c>
    </row>
    <row r="19" spans="1:12" ht="30" x14ac:dyDescent="0.25">
      <c r="A19" s="103" t="s">
        <v>402</v>
      </c>
      <c r="B19" s="103" t="s">
        <v>562</v>
      </c>
      <c r="C19" s="107">
        <v>1580</v>
      </c>
      <c r="D19" s="112">
        <v>0</v>
      </c>
      <c r="E19" s="112">
        <v>0</v>
      </c>
      <c r="F19" s="112">
        <v>0</v>
      </c>
      <c r="G19" s="112">
        <v>0</v>
      </c>
      <c r="H19" s="112">
        <v>0</v>
      </c>
      <c r="I19" s="112">
        <v>0</v>
      </c>
      <c r="J19" s="113" t="s">
        <v>1052</v>
      </c>
      <c r="K19" s="103" t="s">
        <v>405</v>
      </c>
      <c r="L19" s="103" t="s">
        <v>1161</v>
      </c>
    </row>
    <row r="20" spans="1:12" x14ac:dyDescent="0.25">
      <c r="A20" s="103" t="s">
        <v>171</v>
      </c>
      <c r="B20" s="103" t="s">
        <v>412</v>
      </c>
      <c r="C20" s="107">
        <v>2053</v>
      </c>
      <c r="D20" s="112">
        <v>13.5</v>
      </c>
      <c r="E20" s="112">
        <v>2.1</v>
      </c>
      <c r="F20" s="112">
        <v>0.95</v>
      </c>
      <c r="G20" s="112">
        <v>1.95</v>
      </c>
      <c r="H20" s="112">
        <v>18.5</v>
      </c>
      <c r="I20" s="112">
        <v>3165.04</v>
      </c>
      <c r="J20" s="113">
        <v>47787</v>
      </c>
      <c r="K20" s="103" t="s">
        <v>234</v>
      </c>
      <c r="L20" s="103" t="s">
        <v>1158</v>
      </c>
    </row>
    <row r="21" spans="1:12" ht="45" x14ac:dyDescent="0.25">
      <c r="A21" s="103" t="s">
        <v>749</v>
      </c>
      <c r="B21" s="103" t="s">
        <v>420</v>
      </c>
      <c r="C21" s="107">
        <v>3834</v>
      </c>
      <c r="D21" s="112">
        <v>13.5</v>
      </c>
      <c r="E21" s="112">
        <v>2.1</v>
      </c>
      <c r="F21" s="112">
        <v>0.95</v>
      </c>
      <c r="G21" s="112">
        <v>1.95</v>
      </c>
      <c r="H21" s="112">
        <v>18.5</v>
      </c>
      <c r="I21" s="112">
        <v>5910.75</v>
      </c>
      <c r="J21" s="113">
        <v>46507</v>
      </c>
      <c r="K21" s="103" t="s">
        <v>234</v>
      </c>
      <c r="L21" s="103" t="s">
        <v>1159</v>
      </c>
    </row>
    <row r="22" spans="1:12" x14ac:dyDescent="0.25">
      <c r="A22" s="103" t="s">
        <v>117</v>
      </c>
      <c r="B22" s="103" t="s">
        <v>429</v>
      </c>
      <c r="C22" s="107">
        <v>1917</v>
      </c>
      <c r="D22" s="112">
        <v>16</v>
      </c>
      <c r="E22" s="112">
        <v>2.1</v>
      </c>
      <c r="F22" s="112">
        <v>0.85</v>
      </c>
      <c r="G22" s="112">
        <v>1</v>
      </c>
      <c r="H22" s="112">
        <v>19.95</v>
      </c>
      <c r="I22" s="112">
        <v>3187.01</v>
      </c>
      <c r="J22" s="113">
        <v>47879</v>
      </c>
      <c r="K22" s="103" t="s">
        <v>234</v>
      </c>
      <c r="L22" s="103" t="s">
        <v>1158</v>
      </c>
    </row>
    <row r="23" spans="1:12" ht="30" x14ac:dyDescent="0.25">
      <c r="A23" s="103" t="s">
        <v>121</v>
      </c>
      <c r="B23" s="103" t="s">
        <v>436</v>
      </c>
      <c r="C23" s="107">
        <v>1917</v>
      </c>
      <c r="D23" s="112">
        <v>14.95</v>
      </c>
      <c r="E23" s="112">
        <v>2.1</v>
      </c>
      <c r="F23" s="112">
        <v>0.95</v>
      </c>
      <c r="G23" s="112">
        <v>1.95</v>
      </c>
      <c r="H23" s="112">
        <v>19.95</v>
      </c>
      <c r="I23" s="112">
        <v>3187.01</v>
      </c>
      <c r="J23" s="113">
        <v>47879</v>
      </c>
      <c r="K23" s="103" t="s">
        <v>234</v>
      </c>
      <c r="L23" s="103" t="s">
        <v>1162</v>
      </c>
    </row>
    <row r="24" spans="1:12" x14ac:dyDescent="0.25">
      <c r="A24" s="103" t="s">
        <v>127</v>
      </c>
      <c r="B24" s="103" t="s">
        <v>443</v>
      </c>
      <c r="C24" s="107">
        <v>4613</v>
      </c>
      <c r="D24" s="112">
        <v>16.25</v>
      </c>
      <c r="E24" s="112">
        <v>2.1</v>
      </c>
      <c r="F24" s="112">
        <v>0.85</v>
      </c>
      <c r="G24" s="112">
        <v>1</v>
      </c>
      <c r="H24" s="112">
        <v>20.2</v>
      </c>
      <c r="I24" s="112">
        <v>7765.22</v>
      </c>
      <c r="J24" s="113">
        <v>47787</v>
      </c>
      <c r="K24" s="103" t="s">
        <v>234</v>
      </c>
      <c r="L24" s="103" t="s">
        <v>1158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6"/>
  <sheetViews>
    <sheetView workbookViewId="0"/>
  </sheetViews>
  <sheetFormatPr defaultRowHeight="15" x14ac:dyDescent="0.25"/>
  <cols>
    <col min="1" max="1" width="27.28515625" customWidth="1"/>
    <col min="2" max="2" width="17" customWidth="1"/>
    <col min="3" max="3" width="62.140625" customWidth="1"/>
    <col min="4" max="4" width="80.7109375" customWidth="1"/>
  </cols>
  <sheetData>
    <row r="1" spans="1:4" x14ac:dyDescent="0.25">
      <c r="A1" s="119" t="s">
        <v>1163</v>
      </c>
      <c r="B1" s="119" t="s">
        <v>1164</v>
      </c>
      <c r="C1" s="119" t="s">
        <v>1165</v>
      </c>
      <c r="D1" s="119" t="s">
        <v>1166</v>
      </c>
    </row>
    <row r="2" spans="1:4" ht="30" x14ac:dyDescent="0.25">
      <c r="A2" s="110" t="s">
        <v>1167</v>
      </c>
      <c r="B2" s="110" t="s">
        <v>1168</v>
      </c>
      <c r="C2" s="110" t="s">
        <v>1169</v>
      </c>
      <c r="D2" s="110" t="s">
        <v>1170</v>
      </c>
    </row>
    <row r="3" spans="1:4" x14ac:dyDescent="0.25">
      <c r="A3" s="110" t="s">
        <v>1171</v>
      </c>
      <c r="B3" s="110" t="s">
        <v>1172</v>
      </c>
      <c r="C3" s="110" t="s">
        <v>1173</v>
      </c>
      <c r="D3" s="110" t="s">
        <v>1174</v>
      </c>
    </row>
    <row r="4" spans="1:4" ht="30" x14ac:dyDescent="0.25">
      <c r="A4" s="110" t="s">
        <v>1175</v>
      </c>
      <c r="B4" s="110" t="s">
        <v>1176</v>
      </c>
      <c r="C4" s="110" t="s">
        <v>1169</v>
      </c>
      <c r="D4" s="110" t="s">
        <v>1177</v>
      </c>
    </row>
    <row r="5" spans="1:4" ht="30" x14ac:dyDescent="0.25">
      <c r="A5" s="110" t="s">
        <v>1178</v>
      </c>
      <c r="B5" s="110" t="s">
        <v>405</v>
      </c>
      <c r="C5" s="110" t="s">
        <v>1169</v>
      </c>
      <c r="D5" s="110" t="s">
        <v>1179</v>
      </c>
    </row>
    <row r="6" spans="1:4" x14ac:dyDescent="0.25">
      <c r="A6" s="110" t="s">
        <v>1087</v>
      </c>
      <c r="B6" s="110" t="s">
        <v>1180</v>
      </c>
      <c r="C6" s="110" t="s">
        <v>1181</v>
      </c>
      <c r="D6" s="110" t="s">
        <v>1182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READ_ME_PRO</vt:lpstr>
      <vt:lpstr>QC_SUMMARY_PRO</vt:lpstr>
      <vt:lpstr>CHANGE_LOG_PRO</vt:lpstr>
      <vt:lpstr>DECISION_LOG_PRO</vt:lpstr>
      <vt:lpstr>SOURCE_OF_TRUTH_PRO</vt:lpstr>
      <vt:lpstr>LEASE_GROUPS_PRO</vt:lpstr>
      <vt:lpstr>ALL_UNITS_CLEAN_PRO</vt:lpstr>
      <vt:lpstr>PARKING_AGREEMENTS</vt:lpstr>
      <vt:lpstr>SOURCE_OF_TRUTH</vt:lpstr>
      <vt:lpstr>ANALYSIS_SUMMARY</vt:lpstr>
      <vt:lpstr>Adobe Attempt</vt:lpstr>
      <vt:lpstr>Doorloop Attempt</vt:lpstr>
      <vt:lpstr>DoorLoop Try 2</vt:lpstr>
      <vt:lpstr>Adobe Try 2</vt:lpstr>
      <vt:lpstr>Doorloop Try 3</vt:lpstr>
      <vt:lpstr>All Units</vt:lpstr>
      <vt:lpstr>FINAL_READ_ME</vt:lpstr>
      <vt:lpstr>SIGNED_RENT_ROLL_FINAL</vt:lpstr>
      <vt:lpstr>FINAL_UNIT_SOT</vt:lpstr>
      <vt:lpstr>DECISION_LOG_FINAL</vt:lpstr>
      <vt:lpstr>QC_SUMMARY_FINAL</vt:lpstr>
      <vt:lpstr>IMPORT_STAGING_REFERENCE</vt:lpstr>
      <vt:lpstr>OWNER_CORRECTIONS_APPLIED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Adam Abdalla</cp:lastModifiedBy>
  <dcterms:created xsi:type="dcterms:W3CDTF">2026-05-15T00:19:24Z</dcterms:created>
  <dcterms:modified xsi:type="dcterms:W3CDTF">2026-05-15T00:19:24Z</dcterms:modified>
</cp:coreProperties>
</file>