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2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adam\Desktop\All Desktop Items\Investar Loan Closing Documents\Rent Roll\FOR MEETING\"/>
    </mc:Choice>
  </mc:AlternateContent>
  <xr:revisionPtr revIDLastSave="0" documentId="13_ncr:1_{BAE39BF6-FECB-4DB8-92FD-51D08BFC0FCE}" xr6:coauthVersionLast="45" xr6:coauthVersionMax="45" xr10:uidLastSave="{00000000-0000-0000-0000-000000000000}"/>
  <bookViews>
    <workbookView xWindow="1116" yWindow="1116" windowWidth="16704" windowHeight="10992" tabRatio="500" xr2:uid="{00000000-000D-0000-FFFF-FFFF00000000}"/>
  </bookViews>
  <sheets>
    <sheet name="Data" sheetId="1" r:id="rId1"/>
    <sheet name="Proform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19" i="1" l="1"/>
  <c r="D11" i="1" l="1"/>
  <c r="D10" i="1"/>
  <c r="D21" i="1" s="1"/>
  <c r="C9" i="2" s="1"/>
  <c r="C7" i="2"/>
  <c r="D7" i="2" s="1"/>
  <c r="E7" i="2" s="1"/>
  <c r="F7" i="2" s="1"/>
  <c r="G7" i="2" s="1"/>
  <c r="H7" i="2" s="1"/>
  <c r="D5" i="2"/>
  <c r="E5" i="2"/>
  <c r="F5" i="2"/>
  <c r="G5" i="2"/>
  <c r="C22" i="2"/>
  <c r="D22" i="2" s="1"/>
  <c r="E22" i="2" s="1"/>
  <c r="F22" i="2" s="1"/>
  <c r="G22" i="2" s="1"/>
  <c r="H5" i="2"/>
  <c r="D12" i="1" l="1"/>
  <c r="D14" i="1" s="1"/>
  <c r="D22" i="1" s="1"/>
  <c r="H16" i="1" s="1"/>
  <c r="D9" i="2"/>
  <c r="C4" i="2"/>
  <c r="C5" i="2" l="1"/>
  <c r="C6" i="2" s="1"/>
  <c r="D4" i="2"/>
  <c r="E9" i="2"/>
  <c r="C8" i="2" l="1"/>
  <c r="C10" i="2" s="1"/>
  <c r="F9" i="2"/>
  <c r="D23" i="1"/>
  <c r="G18" i="2"/>
  <c r="D6" i="2"/>
  <c r="E4" i="2"/>
  <c r="C11" i="2" l="1"/>
  <c r="C12" i="2" s="1"/>
  <c r="G11" i="2"/>
  <c r="D11" i="2"/>
  <c r="D24" i="1"/>
  <c r="E11" i="2"/>
  <c r="F11" i="2"/>
  <c r="G9" i="2"/>
  <c r="F4" i="2"/>
  <c r="E6" i="2"/>
  <c r="D8" i="2"/>
  <c r="D10" i="2" s="1"/>
  <c r="H9" i="2" l="1"/>
  <c r="D12" i="2"/>
  <c r="E8" i="2"/>
  <c r="E10" i="2" s="1"/>
  <c r="F6" i="2"/>
  <c r="G4" i="2"/>
  <c r="G6" i="2" l="1"/>
  <c r="H4" i="2"/>
  <c r="H6" i="2" s="1"/>
  <c r="H8" i="2" s="1"/>
  <c r="H10" i="2" s="1"/>
  <c r="G16" i="2" s="1"/>
  <c r="F8" i="2"/>
  <c r="F10" i="2" s="1"/>
  <c r="E12" i="2"/>
  <c r="G17" i="2" l="1"/>
  <c r="G19" i="2" s="1"/>
  <c r="G8" i="2"/>
  <c r="G10" i="2" s="1"/>
  <c r="F12" i="2"/>
  <c r="G12" i="2" l="1"/>
</calcChain>
</file>

<file path=xl/sharedStrings.xml><?xml version="1.0" encoding="utf-8"?>
<sst xmlns="http://schemas.openxmlformats.org/spreadsheetml/2006/main" count="54" uniqueCount="46">
  <si>
    <t>Financing Data</t>
  </si>
  <si>
    <t>LTV</t>
  </si>
  <si>
    <t>DSCR</t>
  </si>
  <si>
    <t>Loan Interest Rate</t>
  </si>
  <si>
    <t>Building Data</t>
  </si>
  <si>
    <t>Square Feet</t>
  </si>
  <si>
    <t>Rent Per Square Foot</t>
  </si>
  <si>
    <t>Other Income</t>
  </si>
  <si>
    <t>Operating Expenses</t>
  </si>
  <si>
    <t>Potential Rental Income</t>
  </si>
  <si>
    <t>Gross Potential Income</t>
  </si>
  <si>
    <t>Vacancy &amp; Credit Loss</t>
  </si>
  <si>
    <t>Effective Rental Income</t>
  </si>
  <si>
    <t>Gross Operating Income</t>
  </si>
  <si>
    <t>Property Taxes</t>
  </si>
  <si>
    <t>Insurance</t>
  </si>
  <si>
    <t>Maintenance</t>
  </si>
  <si>
    <t>Management Fee</t>
  </si>
  <si>
    <t>Reserves for Replacement</t>
  </si>
  <si>
    <t>Total Expenses</t>
  </si>
  <si>
    <t>Net Operating Income</t>
  </si>
  <si>
    <t>Year 1</t>
  </si>
  <si>
    <t>Year 2</t>
  </si>
  <si>
    <t>Year 3</t>
  </si>
  <si>
    <t>Year 4</t>
  </si>
  <si>
    <t>Year 5</t>
  </si>
  <si>
    <t>Loan Amount (LTV)</t>
  </si>
  <si>
    <t>Loan Amortization (years)</t>
  </si>
  <si>
    <t>Monthly Debt Service</t>
  </si>
  <si>
    <t>Annual Debt Service</t>
  </si>
  <si>
    <t>First Year Operating Statement</t>
  </si>
  <si>
    <t>Debt Service</t>
  </si>
  <si>
    <t>Cash Flow Before Tax</t>
  </si>
  <si>
    <t>Year 6</t>
  </si>
  <si>
    <t>Proforma</t>
  </si>
  <si>
    <t>Net Sale Proceeds</t>
  </si>
  <si>
    <t>Future Sale Value</t>
  </si>
  <si>
    <t>less: Cost of Sale</t>
  </si>
  <si>
    <t>less: Loan Balance</t>
  </si>
  <si>
    <t>Remaining Payments</t>
  </si>
  <si>
    <t xml:space="preserve">Vacancy  </t>
  </si>
  <si>
    <t>Auto Expenses</t>
  </si>
  <si>
    <t xml:space="preserve">              Appraised Vlue</t>
  </si>
  <si>
    <t>Loan Amount</t>
  </si>
  <si>
    <t xml:space="preserve">       </t>
  </si>
  <si>
    <t>On The Blvd Proforma -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</si>
</sst>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_(* #,##0_);_(* \(#,##0\);_(* &quot;-&quot;??_);_(@_)"/>
  </numFmts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</borders>
  <cellStyleXfs count="9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64">
    <xf numFmtId="0" fontId="0" fillId="0" borderId="0" xfId="0"/>
    <xf numFmtId="0" fontId="0" fillId="0" borderId="0" xfId="0" applyAlignment="1">
      <alignment horizontal="right"/>
    </xf>
    <xf numFmtId="0" fontId="2" fillId="0" borderId="0" xfId="0" applyFont="1"/>
    <xf numFmtId="0" fontId="0" fillId="0" borderId="1" xfId="0" applyBorder="1"/>
    <xf numFmtId="164" fontId="0" fillId="0" borderId="0" xfId="0" applyNumberFormat="1"/>
    <xf numFmtId="164" fontId="0" fillId="0" borderId="1" xfId="2" applyNumberFormat="1" applyFont="1" applyFill="1" applyBorder="1"/>
    <xf numFmtId="9" fontId="0" fillId="0" borderId="0" xfId="0" applyNumberFormat="1" applyFill="1" applyBorder="1"/>
    <xf numFmtId="44" fontId="0" fillId="2" borderId="0" xfId="2" applyFont="1" applyFill="1" applyBorder="1"/>
    <xf numFmtId="164" fontId="0" fillId="2" borderId="0" xfId="2" applyNumberFormat="1" applyFont="1" applyFill="1" applyBorder="1"/>
    <xf numFmtId="164" fontId="0" fillId="0" borderId="0" xfId="2" applyNumberFormat="1" applyFont="1" applyFill="1" applyBorder="1"/>
    <xf numFmtId="164" fontId="0" fillId="0" borderId="1" xfId="2" applyNumberFormat="1" applyFont="1" applyBorder="1"/>
    <xf numFmtId="0" fontId="0" fillId="0" borderId="1" xfId="0" applyFont="1" applyBorder="1" applyAlignment="1">
      <alignment horizontal="left" indent="1"/>
    </xf>
    <xf numFmtId="6" fontId="0" fillId="0" borderId="1" xfId="0" applyNumberFormat="1" applyBorder="1"/>
    <xf numFmtId="0" fontId="0" fillId="0" borderId="4" xfId="0" applyBorder="1"/>
    <xf numFmtId="164" fontId="0" fillId="0" borderId="5" xfId="0" applyNumberFormat="1" applyBorder="1"/>
    <xf numFmtId="0" fontId="0" fillId="0" borderId="6" xfId="0" applyBorder="1"/>
    <xf numFmtId="6" fontId="0" fillId="0" borderId="5" xfId="0" applyNumberFormat="1" applyBorder="1"/>
    <xf numFmtId="0" fontId="0" fillId="0" borderId="2" xfId="0" applyBorder="1"/>
    <xf numFmtId="0" fontId="0" fillId="0" borderId="8" xfId="0" applyBorder="1"/>
    <xf numFmtId="0" fontId="0" fillId="0" borderId="0" xfId="0" applyBorder="1"/>
    <xf numFmtId="0" fontId="2" fillId="0" borderId="0" xfId="0" applyFont="1" applyBorder="1" applyAlignment="1">
      <alignment horizontal="center"/>
    </xf>
    <xf numFmtId="0" fontId="0" fillId="0" borderId="0" xfId="0" applyBorder="1" applyAlignment="1">
      <alignment horizontal="right"/>
    </xf>
    <xf numFmtId="10" fontId="0" fillId="2" borderId="0" xfId="0" applyNumberFormat="1" applyFill="1" applyBorder="1"/>
    <xf numFmtId="10" fontId="0" fillId="2" borderId="5" xfId="0" applyNumberFormat="1" applyFill="1" applyBorder="1"/>
    <xf numFmtId="0" fontId="5" fillId="0" borderId="0" xfId="0" applyFont="1" applyAlignment="1"/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0" xfId="0" applyFont="1" applyBorder="1" applyAlignment="1">
      <alignment horizontal="right"/>
    </xf>
    <xf numFmtId="164" fontId="0" fillId="0" borderId="0" xfId="0" applyNumberFormat="1" applyBorder="1"/>
    <xf numFmtId="6" fontId="0" fillId="0" borderId="0" xfId="0" applyNumberFormat="1" applyBorder="1"/>
    <xf numFmtId="0" fontId="0" fillId="0" borderId="0" xfId="0" applyBorder="1" applyAlignment="1">
      <alignment horizontal="left" indent="1"/>
    </xf>
    <xf numFmtId="0" fontId="2" fillId="0" borderId="0" xfId="0" applyFont="1" applyBorder="1"/>
    <xf numFmtId="164" fontId="0" fillId="0" borderId="0" xfId="0" applyNumberFormat="1" applyFill="1" applyBorder="1"/>
    <xf numFmtId="164" fontId="2" fillId="0" borderId="0" xfId="0" applyNumberFormat="1" applyFont="1" applyFill="1" applyBorder="1"/>
    <xf numFmtId="0" fontId="0" fillId="0" borderId="3" xfId="0" applyBorder="1"/>
    <xf numFmtId="9" fontId="0" fillId="2" borderId="5" xfId="0" applyNumberFormat="1" applyFill="1" applyBorder="1"/>
    <xf numFmtId="0" fontId="0" fillId="0" borderId="5" xfId="0" applyBorder="1"/>
    <xf numFmtId="0" fontId="0" fillId="2" borderId="5" xfId="0" applyFill="1" applyBorder="1"/>
    <xf numFmtId="164" fontId="0" fillId="0" borderId="1" xfId="0" applyNumberFormat="1" applyBorder="1"/>
    <xf numFmtId="0" fontId="0" fillId="0" borderId="7" xfId="0" applyBorder="1"/>
    <xf numFmtId="0" fontId="2" fillId="0" borderId="1" xfId="0" applyFont="1" applyBorder="1" applyAlignment="1"/>
    <xf numFmtId="0" fontId="2" fillId="0" borderId="7" xfId="0" applyFont="1" applyBorder="1" applyAlignment="1"/>
    <xf numFmtId="164" fontId="0" fillId="0" borderId="0" xfId="2" applyNumberFormat="1" applyFont="1" applyBorder="1"/>
    <xf numFmtId="164" fontId="2" fillId="0" borderId="0" xfId="2" applyNumberFormat="1" applyFont="1" applyFill="1" applyBorder="1"/>
    <xf numFmtId="164" fontId="2" fillId="0" borderId="0" xfId="0" applyNumberFormat="1" applyFont="1" applyBorder="1"/>
    <xf numFmtId="10" fontId="0" fillId="0" borderId="0" xfId="0" applyNumberFormat="1" applyFill="1" applyBorder="1" applyAlignment="1">
      <alignment horizontal="right"/>
    </xf>
    <xf numFmtId="164" fontId="2" fillId="0" borderId="0" xfId="2" applyNumberFormat="1" applyFont="1"/>
    <xf numFmtId="165" fontId="0" fillId="2" borderId="0" xfId="1" applyNumberFormat="1" applyFont="1" applyFill="1" applyBorder="1"/>
    <xf numFmtId="164" fontId="0" fillId="0" borderId="5" xfId="2" applyNumberFormat="1" applyFont="1" applyBorder="1"/>
    <xf numFmtId="10" fontId="0" fillId="0" borderId="0" xfId="3" applyNumberFormat="1" applyFont="1" applyBorder="1"/>
    <xf numFmtId="10" fontId="0" fillId="0" borderId="5" xfId="0" applyNumberFormat="1" applyFill="1" applyBorder="1"/>
    <xf numFmtId="164" fontId="0" fillId="3" borderId="5" xfId="2" applyNumberFormat="1" applyFont="1" applyFill="1" applyBorder="1" applyAlignment="1">
      <alignment horizontal="left"/>
    </xf>
    <xf numFmtId="10" fontId="0" fillId="3" borderId="5" xfId="0" applyNumberFormat="1" applyFill="1" applyBorder="1"/>
    <xf numFmtId="0" fontId="2" fillId="0" borderId="0" xfId="0" applyFont="1" applyBorder="1" applyAlignment="1"/>
    <xf numFmtId="0" fontId="0" fillId="3" borderId="0" xfId="0" applyFont="1" applyFill="1" applyBorder="1" applyAlignment="1"/>
    <xf numFmtId="0" fontId="2" fillId="0" borderId="4" xfId="0" applyFont="1" applyBorder="1" applyAlignment="1">
      <alignment horizontal="right"/>
    </xf>
    <xf numFmtId="0" fontId="2" fillId="0" borderId="0" xfId="0" applyFont="1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0" xfId="0" applyBorder="1" applyAlignment="1">
      <alignment horizontal="right"/>
    </xf>
    <xf numFmtId="0" fontId="2" fillId="0" borderId="6" xfId="0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5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8" xfId="0" applyBorder="1" applyAlignment="1">
      <alignment horizontal="right"/>
    </xf>
  </cellXfs>
  <cellStyles count="94">
    <cellStyle name="Comma" xfId="1" builtinId="3"/>
    <cellStyle name="Currency" xfId="2" builtinId="4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Normal" xfId="0" builtinId="0"/>
    <cellStyle name="Percent" xfId="3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O24"/>
  <sheetViews>
    <sheetView showGridLines="0" tabSelected="1" workbookViewId="0">
      <selection activeCell="B1" sqref="B1:H1"/>
    </sheetView>
  </sheetViews>
  <sheetFormatPr defaultColWidth="11.19921875" defaultRowHeight="15.6" x14ac:dyDescent="0.3"/>
  <cols>
    <col min="1" max="1" width="3" customWidth="1"/>
    <col min="2" max="2" width="22.796875" bestFit="1" customWidth="1"/>
    <col min="3" max="3" width="12.69921875" customWidth="1"/>
    <col min="4" max="4" width="16.69921875" customWidth="1"/>
    <col min="5" max="8" width="12.69921875" customWidth="1"/>
  </cols>
  <sheetData>
    <row r="1" spans="2:15" ht="34.200000000000003" thickBot="1" x14ac:dyDescent="0.7">
      <c r="B1" s="61" t="s">
        <v>45</v>
      </c>
      <c r="C1" s="61"/>
      <c r="D1" s="61"/>
      <c r="E1" s="61"/>
      <c r="F1" s="61"/>
      <c r="G1" s="61"/>
      <c r="H1" s="61"/>
      <c r="I1" s="24"/>
      <c r="J1" s="24"/>
      <c r="K1" s="24"/>
      <c r="L1" s="24"/>
      <c r="M1" s="24"/>
      <c r="N1" s="24"/>
      <c r="O1" s="24"/>
    </row>
    <row r="2" spans="2:15" x14ac:dyDescent="0.3">
      <c r="B2" s="17"/>
      <c r="C2" s="18"/>
      <c r="D2" s="18"/>
      <c r="E2" s="18"/>
      <c r="F2" s="18"/>
      <c r="G2" s="18"/>
      <c r="H2" s="34"/>
    </row>
    <row r="3" spans="2:15" ht="16.2" thickBot="1" x14ac:dyDescent="0.35">
      <c r="B3" s="15"/>
      <c r="C3" s="26" t="s">
        <v>4</v>
      </c>
      <c r="D3" s="26"/>
      <c r="E3" s="19"/>
      <c r="F3" s="19"/>
      <c r="G3" s="53"/>
      <c r="H3" s="54"/>
      <c r="I3" s="13"/>
    </row>
    <row r="4" spans="2:15" x14ac:dyDescent="0.3">
      <c r="B4" s="13"/>
      <c r="C4" s="21" t="s">
        <v>5</v>
      </c>
      <c r="D4" s="47">
        <v>62749</v>
      </c>
      <c r="E4" s="19"/>
      <c r="F4" s="19"/>
      <c r="G4" s="21"/>
      <c r="H4" s="51"/>
    </row>
    <row r="5" spans="2:15" x14ac:dyDescent="0.3">
      <c r="B5" s="13"/>
      <c r="C5" s="21" t="s">
        <v>6</v>
      </c>
      <c r="D5" s="7">
        <v>17.649999999999999</v>
      </c>
      <c r="E5" s="19"/>
      <c r="F5" s="19"/>
      <c r="G5" s="21"/>
      <c r="H5" s="52"/>
    </row>
    <row r="6" spans="2:15" x14ac:dyDescent="0.3">
      <c r="B6" s="13"/>
      <c r="C6" s="21" t="s">
        <v>7</v>
      </c>
      <c r="D6" s="8">
        <v>10200</v>
      </c>
      <c r="E6" s="19"/>
      <c r="F6" s="19"/>
      <c r="G6" s="21"/>
      <c r="H6" s="52"/>
    </row>
    <row r="7" spans="2:15" x14ac:dyDescent="0.3">
      <c r="B7" s="13"/>
      <c r="C7" s="21" t="s">
        <v>40</v>
      </c>
      <c r="D7" s="22">
        <v>0.1</v>
      </c>
      <c r="E7" s="19"/>
      <c r="F7" s="19"/>
      <c r="G7" s="21"/>
      <c r="H7" s="50"/>
    </row>
    <row r="8" spans="2:15" ht="16.2" thickBot="1" x14ac:dyDescent="0.35">
      <c r="B8" s="13"/>
      <c r="C8" s="19"/>
      <c r="D8" s="6"/>
      <c r="E8" s="19"/>
      <c r="F8" s="19"/>
      <c r="G8" s="40" t="s">
        <v>0</v>
      </c>
      <c r="H8" s="36"/>
      <c r="I8" s="1"/>
    </row>
    <row r="9" spans="2:15" ht="16.2" thickBot="1" x14ac:dyDescent="0.35">
      <c r="B9" s="15"/>
      <c r="C9" s="26" t="s">
        <v>30</v>
      </c>
      <c r="D9" s="26"/>
      <c r="E9" s="19"/>
      <c r="F9" s="3" t="s">
        <v>44</v>
      </c>
      <c r="G9" s="40"/>
      <c r="H9" s="41"/>
      <c r="I9" s="1"/>
    </row>
    <row r="10" spans="2:15" x14ac:dyDescent="0.3">
      <c r="B10" s="62" t="s">
        <v>9</v>
      </c>
      <c r="C10" s="63"/>
      <c r="D10" s="9">
        <f>D4*D5</f>
        <v>1107519.8499999999</v>
      </c>
      <c r="E10" s="19"/>
      <c r="F10" s="19"/>
      <c r="G10" s="21" t="s">
        <v>3</v>
      </c>
      <c r="H10" s="23">
        <v>0.05</v>
      </c>
      <c r="I10" s="1"/>
    </row>
    <row r="11" spans="2:15" x14ac:dyDescent="0.3">
      <c r="B11" s="57" t="s">
        <v>11</v>
      </c>
      <c r="C11" s="58"/>
      <c r="D11" s="45">
        <f>D7</f>
        <v>0.1</v>
      </c>
      <c r="E11" s="19"/>
      <c r="F11" s="19"/>
      <c r="G11" s="21" t="s">
        <v>27</v>
      </c>
      <c r="H11" s="37">
        <v>15</v>
      </c>
    </row>
    <row r="12" spans="2:15" x14ac:dyDescent="0.3">
      <c r="B12" s="55" t="s">
        <v>12</v>
      </c>
      <c r="C12" s="56"/>
      <c r="D12" s="9">
        <f>D10*(1-D11)</f>
        <v>996767.86499999987</v>
      </c>
      <c r="E12" s="19"/>
      <c r="F12" s="19"/>
      <c r="G12" s="21" t="s">
        <v>1</v>
      </c>
      <c r="H12" s="35">
        <v>0.22</v>
      </c>
    </row>
    <row r="13" spans="2:15" x14ac:dyDescent="0.3">
      <c r="B13" s="57" t="s">
        <v>7</v>
      </c>
      <c r="C13" s="58"/>
      <c r="D13" s="9">
        <v>10200</v>
      </c>
      <c r="E13" s="19"/>
      <c r="F13" s="19"/>
      <c r="G13" s="21" t="s">
        <v>2</v>
      </c>
      <c r="H13" s="37">
        <v>1.25</v>
      </c>
    </row>
    <row r="14" spans="2:15" x14ac:dyDescent="0.3">
      <c r="B14" s="55" t="s">
        <v>13</v>
      </c>
      <c r="C14" s="56"/>
      <c r="D14" s="32">
        <f>D12+D13</f>
        <v>1006967.8649999999</v>
      </c>
      <c r="E14" s="19"/>
      <c r="F14" s="19"/>
      <c r="G14" s="21" t="s">
        <v>26</v>
      </c>
      <c r="H14" s="14">
        <v>1500000</v>
      </c>
    </row>
    <row r="15" spans="2:15" x14ac:dyDescent="0.3">
      <c r="B15" s="57" t="s">
        <v>14</v>
      </c>
      <c r="C15" s="58"/>
      <c r="D15" s="8">
        <v>54175.81</v>
      </c>
      <c r="E15" s="19"/>
      <c r="F15" s="19"/>
      <c r="G15" s="21"/>
      <c r="H15" s="48"/>
    </row>
    <row r="16" spans="2:15" x14ac:dyDescent="0.3">
      <c r="B16" s="57" t="s">
        <v>15</v>
      </c>
      <c r="C16" s="58"/>
      <c r="D16" s="8">
        <v>61780.56</v>
      </c>
      <c r="E16" s="19"/>
      <c r="F16" s="19"/>
      <c r="G16" s="27" t="s">
        <v>43</v>
      </c>
      <c r="H16" s="14">
        <f>MIN(H14,H15)</f>
        <v>1500000</v>
      </c>
    </row>
    <row r="17" spans="2:8" x14ac:dyDescent="0.3">
      <c r="B17" s="57" t="s">
        <v>16</v>
      </c>
      <c r="C17" s="58"/>
      <c r="D17" s="8">
        <v>66892</v>
      </c>
      <c r="E17" s="19"/>
      <c r="F17" s="19" t="s">
        <v>42</v>
      </c>
      <c r="G17" s="21"/>
      <c r="H17" s="14">
        <v>6700000</v>
      </c>
    </row>
    <row r="18" spans="2:8" x14ac:dyDescent="0.3">
      <c r="B18" s="57" t="s">
        <v>17</v>
      </c>
      <c r="C18" s="58"/>
      <c r="D18" s="8">
        <v>195000</v>
      </c>
      <c r="E18" s="19"/>
      <c r="F18" s="19"/>
      <c r="G18" s="21" t="s">
        <v>28</v>
      </c>
      <c r="H18" s="16">
        <v>11918.73</v>
      </c>
    </row>
    <row r="19" spans="2:8" x14ac:dyDescent="0.3">
      <c r="B19" s="57" t="s">
        <v>18</v>
      </c>
      <c r="C19" s="58"/>
      <c r="D19" s="8">
        <v>24000</v>
      </c>
      <c r="E19" s="19"/>
      <c r="F19" s="19"/>
      <c r="G19" s="21" t="s">
        <v>29</v>
      </c>
      <c r="H19" s="16">
        <f>H18*12</f>
        <v>143024.76</v>
      </c>
    </row>
    <row r="20" spans="2:8" x14ac:dyDescent="0.3">
      <c r="B20" s="57" t="s">
        <v>41</v>
      </c>
      <c r="C20" s="58"/>
      <c r="D20" s="8">
        <v>8400</v>
      </c>
      <c r="E20" s="19"/>
      <c r="F20" s="19"/>
      <c r="G20" s="19"/>
      <c r="H20" s="36"/>
    </row>
    <row r="21" spans="2:8" x14ac:dyDescent="0.3">
      <c r="B21" s="55" t="s">
        <v>19</v>
      </c>
      <c r="C21" s="56"/>
      <c r="D21" s="9">
        <f>SUM(D15:D20)</f>
        <v>410248.37</v>
      </c>
      <c r="E21" s="19"/>
      <c r="F21" s="19"/>
      <c r="G21" s="19"/>
      <c r="H21" s="36"/>
    </row>
    <row r="22" spans="2:8" x14ac:dyDescent="0.3">
      <c r="B22" s="55" t="s">
        <v>20</v>
      </c>
      <c r="C22" s="56"/>
      <c r="D22" s="33">
        <f>D14-D21</f>
        <v>596719.49499999988</v>
      </c>
      <c r="E22" s="19"/>
      <c r="F22" s="19"/>
      <c r="G22" s="19"/>
      <c r="H22" s="36"/>
    </row>
    <row r="23" spans="2:8" x14ac:dyDescent="0.3">
      <c r="B23" s="57" t="s">
        <v>31</v>
      </c>
      <c r="C23" s="58"/>
      <c r="D23" s="28">
        <f>H19</f>
        <v>143024.76</v>
      </c>
      <c r="E23" s="19"/>
      <c r="F23" s="19"/>
      <c r="G23" s="19"/>
      <c r="H23" s="36"/>
    </row>
    <row r="24" spans="2:8" ht="16.2" thickBot="1" x14ac:dyDescent="0.35">
      <c r="B24" s="59" t="s">
        <v>32</v>
      </c>
      <c r="C24" s="60"/>
      <c r="D24" s="38">
        <f>D22-D23</f>
        <v>453694.73499999987</v>
      </c>
      <c r="E24" s="3"/>
      <c r="F24" s="3"/>
      <c r="G24" s="3"/>
      <c r="H24" s="39"/>
    </row>
  </sheetData>
  <mergeCells count="16">
    <mergeCell ref="B1:H1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21:C21"/>
    <mergeCell ref="B22:C22"/>
    <mergeCell ref="B23:C23"/>
    <mergeCell ref="B24:C24"/>
    <mergeCell ref="B19:C19"/>
    <mergeCell ref="B20:C20"/>
  </mergeCells>
  <pageMargins left="0.75" right="0.75" top="1" bottom="1" header="0.5" footer="0.5"/>
  <pageSetup scale="70"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2"/>
  <sheetViews>
    <sheetView showGridLines="0" workbookViewId="0">
      <selection activeCell="Q10" sqref="Q10"/>
    </sheetView>
  </sheetViews>
  <sheetFormatPr defaultColWidth="11.19921875" defaultRowHeight="15.6" x14ac:dyDescent="0.3"/>
  <cols>
    <col min="1" max="1" width="3" customWidth="1"/>
    <col min="2" max="2" width="21.296875" bestFit="1" customWidth="1"/>
    <col min="3" max="6" width="11.69921875" bestFit="1" customWidth="1"/>
    <col min="7" max="7" width="12.69921875" bestFit="1" customWidth="1"/>
    <col min="8" max="8" width="11.69921875" bestFit="1" customWidth="1"/>
  </cols>
  <sheetData>
    <row r="1" spans="2:8" ht="33.6" x14ac:dyDescent="0.65">
      <c r="B1" s="61" t="s">
        <v>34</v>
      </c>
      <c r="C1" s="61"/>
      <c r="D1" s="61"/>
      <c r="E1" s="61"/>
      <c r="F1" s="61"/>
      <c r="G1" s="61"/>
      <c r="H1" s="61"/>
    </row>
    <row r="2" spans="2:8" x14ac:dyDescent="0.3">
      <c r="B2" s="19"/>
      <c r="C2" s="19"/>
      <c r="D2" s="19"/>
      <c r="E2" s="19"/>
      <c r="F2" s="19"/>
      <c r="G2" s="19"/>
      <c r="H2" s="19"/>
    </row>
    <row r="3" spans="2:8" x14ac:dyDescent="0.3">
      <c r="B3" s="19"/>
      <c r="C3" s="20" t="s">
        <v>21</v>
      </c>
      <c r="D3" s="20" t="s">
        <v>22</v>
      </c>
      <c r="E3" s="20" t="s">
        <v>23</v>
      </c>
      <c r="F3" s="20" t="s">
        <v>24</v>
      </c>
      <c r="G3" s="20" t="s">
        <v>25</v>
      </c>
      <c r="H3" s="20" t="s">
        <v>33</v>
      </c>
    </row>
    <row r="4" spans="2:8" x14ac:dyDescent="0.3">
      <c r="B4" s="19" t="s">
        <v>10</v>
      </c>
      <c r="C4" s="9">
        <f>Data!D10</f>
        <v>1107519.8499999999</v>
      </c>
      <c r="D4" s="42" t="e">
        <f>C4*(1+Data!#REF!)</f>
        <v>#REF!</v>
      </c>
      <c r="E4" s="42" t="e">
        <f>D4*(1+Data!#REF!)</f>
        <v>#REF!</v>
      </c>
      <c r="F4" s="42" t="e">
        <f>E4*(1+Data!#REF!)</f>
        <v>#REF!</v>
      </c>
      <c r="G4" s="42" t="e">
        <f>F4*(1+Data!#REF!)</f>
        <v>#REF!</v>
      </c>
      <c r="H4" s="42" t="e">
        <f>G4*(1+Data!#REF!)</f>
        <v>#REF!</v>
      </c>
    </row>
    <row r="5" spans="2:8" x14ac:dyDescent="0.3">
      <c r="B5" s="30" t="s">
        <v>11</v>
      </c>
      <c r="C5" s="9">
        <f>Data!D11*C4</f>
        <v>110751.98499999999</v>
      </c>
      <c r="D5" s="49" t="e">
        <f>Data!#REF!</f>
        <v>#REF!</v>
      </c>
      <c r="E5" s="49" t="e">
        <f>Data!#REF!</f>
        <v>#REF!</v>
      </c>
      <c r="F5" s="49" t="e">
        <f>Data!#REF!</f>
        <v>#REF!</v>
      </c>
      <c r="G5" s="49" t="e">
        <f>Data!#REF!</f>
        <v>#REF!</v>
      </c>
      <c r="H5" s="49" t="e">
        <f>Data!#REF!</f>
        <v>#REF!</v>
      </c>
    </row>
    <row r="6" spans="2:8" x14ac:dyDescent="0.3">
      <c r="B6" s="31" t="s">
        <v>12</v>
      </c>
      <c r="C6" s="43">
        <f>C4-C5</f>
        <v>996767.86499999987</v>
      </c>
      <c r="D6" s="43" t="e">
        <f t="shared" ref="D6:H6" si="0">D4*(1-D5)</f>
        <v>#REF!</v>
      </c>
      <c r="E6" s="43" t="e">
        <f t="shared" si="0"/>
        <v>#REF!</v>
      </c>
      <c r="F6" s="43" t="e">
        <f t="shared" si="0"/>
        <v>#REF!</v>
      </c>
      <c r="G6" s="43" t="e">
        <f t="shared" si="0"/>
        <v>#REF!</v>
      </c>
      <c r="H6" s="43" t="e">
        <f t="shared" si="0"/>
        <v>#REF!</v>
      </c>
    </row>
    <row r="7" spans="2:8" x14ac:dyDescent="0.3">
      <c r="B7" s="30" t="s">
        <v>7</v>
      </c>
      <c r="C7" s="9">
        <f>Data!D13</f>
        <v>10200</v>
      </c>
      <c r="D7" s="42" t="e">
        <f>C7*(1+Data!#REF!)</f>
        <v>#REF!</v>
      </c>
      <c r="E7" s="42" t="e">
        <f>D7*(1+Data!#REF!)</f>
        <v>#REF!</v>
      </c>
      <c r="F7" s="42" t="e">
        <f>E7*(1+Data!#REF!)</f>
        <v>#REF!</v>
      </c>
      <c r="G7" s="42" t="e">
        <f>F7*(1+Data!#REF!)</f>
        <v>#REF!</v>
      </c>
      <c r="H7" s="42" t="e">
        <f>G7*(1+Data!#REF!)</f>
        <v>#REF!</v>
      </c>
    </row>
    <row r="8" spans="2:8" x14ac:dyDescent="0.3">
      <c r="B8" s="31" t="s">
        <v>13</v>
      </c>
      <c r="C8" s="33">
        <f>C6+C7</f>
        <v>1006967.8649999999</v>
      </c>
      <c r="D8" s="33" t="e">
        <f t="shared" ref="D8:H8" si="1">D6+D7</f>
        <v>#REF!</v>
      </c>
      <c r="E8" s="33" t="e">
        <f t="shared" si="1"/>
        <v>#REF!</v>
      </c>
      <c r="F8" s="33" t="e">
        <f t="shared" si="1"/>
        <v>#REF!</v>
      </c>
      <c r="G8" s="33" t="e">
        <f t="shared" si="1"/>
        <v>#REF!</v>
      </c>
      <c r="H8" s="33" t="e">
        <f t="shared" si="1"/>
        <v>#REF!</v>
      </c>
    </row>
    <row r="9" spans="2:8" ht="16.2" thickBot="1" x14ac:dyDescent="0.35">
      <c r="B9" s="25" t="s">
        <v>8</v>
      </c>
      <c r="C9" s="5">
        <f>Data!D21</f>
        <v>410248.37</v>
      </c>
      <c r="D9" s="10" t="e">
        <f>C9*(1+Data!#REF!)</f>
        <v>#REF!</v>
      </c>
      <c r="E9" s="10" t="e">
        <f>D9*(1+Data!#REF!)</f>
        <v>#REF!</v>
      </c>
      <c r="F9" s="10" t="e">
        <f>E9*(1+Data!#REF!)</f>
        <v>#REF!</v>
      </c>
      <c r="G9" s="10" t="e">
        <f>F9*(1+Data!#REF!)</f>
        <v>#REF!</v>
      </c>
      <c r="H9" s="10" t="e">
        <f>G9*(1+Data!#REF!)</f>
        <v>#REF!</v>
      </c>
    </row>
    <row r="10" spans="2:8" x14ac:dyDescent="0.3">
      <c r="B10" s="31" t="s">
        <v>20</v>
      </c>
      <c r="C10" s="33">
        <f>C8-C9</f>
        <v>596719.49499999988</v>
      </c>
      <c r="D10" s="33" t="e">
        <f t="shared" ref="D10:H10" si="2">D8-D9</f>
        <v>#REF!</v>
      </c>
      <c r="E10" s="33" t="e">
        <f t="shared" si="2"/>
        <v>#REF!</v>
      </c>
      <c r="F10" s="33" t="e">
        <f t="shared" si="2"/>
        <v>#REF!</v>
      </c>
      <c r="G10" s="33" t="e">
        <f t="shared" si="2"/>
        <v>#REF!</v>
      </c>
      <c r="H10" s="33" t="e">
        <f t="shared" si="2"/>
        <v>#REF!</v>
      </c>
    </row>
    <row r="11" spans="2:8" ht="16.2" thickBot="1" x14ac:dyDescent="0.35">
      <c r="B11" s="11" t="s">
        <v>31</v>
      </c>
      <c r="C11" s="12">
        <f>Data!H19</f>
        <v>143024.76</v>
      </c>
      <c r="D11" s="12">
        <f>Data!H19</f>
        <v>143024.76</v>
      </c>
      <c r="E11" s="12">
        <f>Data!H19</f>
        <v>143024.76</v>
      </c>
      <c r="F11" s="12">
        <f>Data!H19</f>
        <v>143024.76</v>
      </c>
      <c r="G11" s="12">
        <f>Data!H19</f>
        <v>143024.76</v>
      </c>
      <c r="H11" s="29"/>
    </row>
    <row r="12" spans="2:8" x14ac:dyDescent="0.3">
      <c r="B12" s="31" t="s">
        <v>32</v>
      </c>
      <c r="C12" s="44">
        <f>C10-C11</f>
        <v>453694.73499999987</v>
      </c>
      <c r="D12" s="44" t="e">
        <f t="shared" ref="D12:G12" si="3">D10-D11</f>
        <v>#REF!</v>
      </c>
      <c r="E12" s="44" t="e">
        <f t="shared" si="3"/>
        <v>#REF!</v>
      </c>
      <c r="F12" s="44" t="e">
        <f t="shared" si="3"/>
        <v>#REF!</v>
      </c>
      <c r="G12" s="44" t="e">
        <f t="shared" si="3"/>
        <v>#REF!</v>
      </c>
      <c r="H12" s="44"/>
    </row>
    <row r="16" spans="2:8" x14ac:dyDescent="0.3">
      <c r="B16" t="s">
        <v>36</v>
      </c>
      <c r="G16" s="4" t="e">
        <f>H10/Data!$H$5</f>
        <v>#REF!</v>
      </c>
    </row>
    <row r="17" spans="2:7" x14ac:dyDescent="0.3">
      <c r="B17" t="s">
        <v>37</v>
      </c>
      <c r="G17" s="4" t="e">
        <f>G16*Data!H6</f>
        <v>#REF!</v>
      </c>
    </row>
    <row r="18" spans="2:7" ht="16.2" thickBot="1" x14ac:dyDescent="0.35">
      <c r="B18" s="3" t="s">
        <v>38</v>
      </c>
      <c r="G18" s="38">
        <f>PV(Data!$H$10/12,Proforma!G22,-Data!H18)</f>
        <v>1123713.9585976475</v>
      </c>
    </row>
    <row r="19" spans="2:7" x14ac:dyDescent="0.3">
      <c r="B19" s="2" t="s">
        <v>35</v>
      </c>
      <c r="G19" s="46" t="e">
        <f>G16-G17-G18</f>
        <v>#REF!</v>
      </c>
    </row>
    <row r="22" spans="2:7" hidden="1" x14ac:dyDescent="0.3">
      <c r="B22" t="s">
        <v>39</v>
      </c>
      <c r="C22">
        <f>Data!$H$11*12-12</f>
        <v>168</v>
      </c>
      <c r="D22">
        <f>C22-12</f>
        <v>156</v>
      </c>
      <c r="E22">
        <f t="shared" ref="E22:G22" si="4">D22-12</f>
        <v>144</v>
      </c>
      <c r="F22">
        <f t="shared" si="4"/>
        <v>132</v>
      </c>
      <c r="G22">
        <f t="shared" si="4"/>
        <v>120</v>
      </c>
    </row>
  </sheetData>
  <mergeCells count="1">
    <mergeCell ref="B1:H1"/>
  </mergeCells>
  <phoneticPr fontId="6" type="noConversion"/>
  <pageMargins left="0.75" right="0.75" top="1" bottom="1" header="0.5" footer="0.5"/>
  <pageSetup orientation="portrait" horizontalDpi="4294967292" verticalDpi="4294967292"/>
  <ignoredErrors>
    <ignoredError sqref="C11:G11" formula="1"/>
  </ignoredErrors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Proforma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Schmidt</dc:creator>
  <cp:lastModifiedBy>adam</cp:lastModifiedBy>
  <cp:lastPrinted>2020-01-06T16:34:47Z</cp:lastPrinted>
  <dcterms:created xsi:type="dcterms:W3CDTF">2014-09-05T20:05:56Z</dcterms:created>
  <dcterms:modified xsi:type="dcterms:W3CDTF">2020-01-06T16:36:47Z</dcterms:modified>
</cp:coreProperties>
</file>