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73c49515fa2b7/Desktop/"/>
    </mc:Choice>
  </mc:AlternateContent>
  <xr:revisionPtr revIDLastSave="87" documentId="8_{39F6C2B5-14B6-4BD9-8CFB-4FF08C076C75}" xr6:coauthVersionLast="47" xr6:coauthVersionMax="47" xr10:uidLastSave="{A0DD1D45-70EC-4260-B9A5-77B52B4A9647}"/>
  <bookViews>
    <workbookView xWindow="-86" yWindow="0" windowWidth="16629" windowHeight="8983" xr2:uid="{9E5137D4-7ED1-4FD6-9370-220860932C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J2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K9" i="1"/>
  <c r="J9" i="1"/>
  <c r="N8" i="1"/>
  <c r="M8" i="1"/>
  <c r="L8" i="1"/>
  <c r="K8" i="1"/>
  <c r="J8" i="1"/>
  <c r="N7" i="1"/>
  <c r="M7" i="1"/>
  <c r="L7" i="1"/>
  <c r="K7" i="1"/>
  <c r="J7" i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  <c r="N3" i="1"/>
  <c r="L3" i="1"/>
  <c r="K3" i="1"/>
  <c r="J3" i="1"/>
  <c r="N2" i="1"/>
  <c r="L2" i="1"/>
  <c r="M2" i="1"/>
  <c r="K2" i="1"/>
  <c r="I27" i="2" l="1"/>
  <c r="J27" i="2" s="1"/>
  <c r="I26" i="2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J19" i="2"/>
  <c r="I19" i="2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J28" i="2" s="1"/>
  <c r="C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814ECBDD-CD0A-45B2-8070-86AD8BECA869}">
      <text>
        <r>
          <rPr>
            <sz val="10"/>
            <color rgb="FF000000"/>
            <rFont val="Aptos Narrow"/>
            <family val="2"/>
            <scheme val="minor"/>
          </rPr>
          <t>======
ID#AAAB1iTtIpI
Anonymous    (2026-03-09 22:33:15)
How much did you collect already?</t>
        </r>
      </text>
    </comment>
  </commentList>
</comments>
</file>

<file path=xl/sharedStrings.xml><?xml version="1.0" encoding="utf-8"?>
<sst xmlns="http://schemas.openxmlformats.org/spreadsheetml/2006/main" count="180" uniqueCount="79">
  <si>
    <t>Unit</t>
  </si>
  <si>
    <t>Tenant</t>
  </si>
  <si>
    <t>SF</t>
  </si>
  <si>
    <t>HVAC Split</t>
  </si>
  <si>
    <t>101-103</t>
  </si>
  <si>
    <t>The Pink Paisley LLC</t>
  </si>
  <si>
    <t>Interior tenant responsibility; landlord roof/exterior/structure</t>
  </si>
  <si>
    <t>Painted Bayou</t>
  </si>
  <si>
    <t>Great American Cookies</t>
  </si>
  <si>
    <t>PO Box 62230 or EFT</t>
  </si>
  <si>
    <t>JC Kate Boutique</t>
  </si>
  <si>
    <t>Lola Pink Fabrics</t>
  </si>
  <si>
    <t>115-117</t>
  </si>
  <si>
    <t>Clothing Loft Exchange</t>
  </si>
  <si>
    <t>Victoria Nails</t>
  </si>
  <si>
    <t>Oupac</t>
  </si>
  <si>
    <t>Cat Clinic of Lafayette</t>
  </si>
  <si>
    <t>Tux Shoppe</t>
  </si>
  <si>
    <t>125-127</t>
  </si>
  <si>
    <t>Jordan Amanda</t>
  </si>
  <si>
    <t>Hotworx</t>
  </si>
  <si>
    <t>135A</t>
  </si>
  <si>
    <t>C. Wolf Barber Shop</t>
  </si>
  <si>
    <t>Greek Expressions</t>
  </si>
  <si>
    <t>139-141</t>
  </si>
  <si>
    <t>Fast Pass Tag &amp; Title</t>
  </si>
  <si>
    <t>1st Franklin Financial</t>
  </si>
  <si>
    <t>Jason's Deli</t>
  </si>
  <si>
    <t>Late
Fees</t>
  </si>
  <si>
    <t>Payment 
Method</t>
  </si>
  <si>
    <t>Maintenance 
&amp; Repairs</t>
  </si>
  <si>
    <t>135B</t>
  </si>
  <si>
    <t>Belle Realty</t>
  </si>
  <si>
    <t>131-133</t>
  </si>
  <si>
    <t>VACANT</t>
  </si>
  <si>
    <t>LESSOR ACH</t>
  </si>
  <si>
    <t>LESSEE ACH</t>
  </si>
  <si>
    <t>Magnolia Salon</t>
  </si>
  <si>
    <r>
      <t xml:space="preserve">Tenant pays first </t>
    </r>
    <r>
      <rPr>
        <b/>
        <sz val="10"/>
        <color theme="1"/>
        <rFont val="Garamond"/>
        <family val="1"/>
      </rPr>
      <t>$750 repair / $1,500 replacement</t>
    </r>
  </si>
  <si>
    <r>
      <t xml:space="preserve">Tenant pays </t>
    </r>
    <r>
      <rPr>
        <b/>
        <sz val="10"/>
        <color theme="1"/>
        <rFont val="Garamond"/>
        <family val="1"/>
      </rPr>
      <t>$750 repair / $2,500 replacement</t>
    </r>
  </si>
  <si>
    <r>
      <t xml:space="preserve">Tenant pays </t>
    </r>
    <r>
      <rPr>
        <b/>
        <sz val="10"/>
        <color theme="1"/>
        <rFont val="Garamond"/>
        <family val="1"/>
      </rPr>
      <t>$1,000 repair / $1,000 replacement</t>
    </r>
  </si>
  <si>
    <t>Tenant Pays
Repair = $_____ 
Replace = $ ________</t>
  </si>
  <si>
    <t>Graze Acadiana</t>
  </si>
  <si>
    <t>BASE</t>
  </si>
  <si>
    <t>CAM</t>
  </si>
  <si>
    <t>TAX</t>
  </si>
  <si>
    <t>INS</t>
  </si>
  <si>
    <t>TOTAL</t>
  </si>
  <si>
    <t>BASE
 SF</t>
  </si>
  <si>
    <t>CAM
SF</t>
  </si>
  <si>
    <t>TAX
SF</t>
  </si>
  <si>
    <t>INS
SF</t>
  </si>
  <si>
    <t>TOTAL
SF</t>
  </si>
  <si>
    <t>BELLE REALTY OF LAFAYETTE, LLC</t>
  </si>
  <si>
    <r>
      <rPr>
        <b/>
        <sz val="11"/>
        <rFont val="Garamond"/>
        <family val="1"/>
      </rPr>
      <t xml:space="preserve">
Rent Roll</t>
    </r>
    <r>
      <rPr>
        <sz val="11"/>
        <color rgb="FF000000"/>
        <rFont val="Garamond"/>
        <family val="1"/>
      </rPr>
      <t xml:space="preserve"> ** From my review of actual leases signed leases </t>
    </r>
  </si>
  <si>
    <t>UNIT</t>
  </si>
  <si>
    <t>TENANT</t>
  </si>
  <si>
    <t>SQFT</t>
  </si>
  <si>
    <t>MONTHLY</t>
  </si>
  <si>
    <t xml:space="preserve"> EXPERATION</t>
  </si>
  <si>
    <t>The Pink Paisley, LLC</t>
  </si>
  <si>
    <t>Great American</t>
  </si>
  <si>
    <t>JC Kate</t>
  </si>
  <si>
    <t>Lola Pink</t>
  </si>
  <si>
    <t>The Clothing Loft</t>
  </si>
  <si>
    <t>117 1/2</t>
  </si>
  <si>
    <t>119 1/2</t>
  </si>
  <si>
    <t>NA</t>
  </si>
  <si>
    <t>The Tux Shoppe</t>
  </si>
  <si>
    <t xml:space="preserve">Jordan Amanda </t>
  </si>
  <si>
    <t>HotWorx</t>
  </si>
  <si>
    <t>Vacant</t>
  </si>
  <si>
    <t>C Wolf Barber Shop</t>
  </si>
  <si>
    <t>139/141</t>
  </si>
  <si>
    <t xml:space="preserve">1st Franklin Financial </t>
  </si>
  <si>
    <t>Security Deposit Amount</t>
  </si>
  <si>
    <t>N/A</t>
  </si>
  <si>
    <t>$100 + $25/ after 5th</t>
  </si>
  <si>
    <t>Insurance 
Certificate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</si>
</sst>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m/dd/yyyy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14"/>
      <color rgb="FF000000"/>
      <name val="Garamond"/>
      <family val="1"/>
    </font>
    <font>
      <u/>
      <sz val="14"/>
      <color rgb="FF000000"/>
      <name val="Garamond"/>
      <family val="1"/>
    </font>
    <font>
      <b/>
      <sz val="20"/>
      <name val="Garamond"/>
      <family val="1"/>
    </font>
    <font>
      <sz val="11"/>
      <color rgb="FF000000"/>
      <name val="Garamond"/>
      <family val="1"/>
    </font>
    <font>
      <b/>
      <sz val="1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4"/>
      <color rgb="FF000000"/>
      <name val="Garamond"/>
      <family val="1"/>
    </font>
    <font>
      <sz val="14"/>
      <name val="Garamond"/>
      <family val="1"/>
    </font>
    <font>
      <u/>
      <sz val="14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b/>
      <sz val="10"/>
      <color rgb="FF000000"/>
      <name val="Garamond"/>
      <family val="1"/>
    </font>
    <font>
      <sz val="10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7" fontId="3" fillId="2" borderId="1" xfId="0" applyNumberFormat="1" applyFont="1" applyFill="1" applyBorder="1" applyAlignment="1">
      <alignment horizontal="right" shrinkToFit="1"/>
    </xf>
    <xf numFmtId="7" fontId="3" fillId="2" borderId="2" xfId="0" applyNumberFormat="1" applyFont="1" applyFill="1" applyBorder="1" applyAlignment="1">
      <alignment horizontal="right" shrinkToFit="1"/>
    </xf>
    <xf numFmtId="7" fontId="4" fillId="2" borderId="3" xfId="0" applyNumberFormat="1" applyFont="1" applyFill="1" applyBorder="1" applyAlignment="1">
      <alignment horizontal="right" shrinkToFi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8" fillId="2" borderId="7" xfId="0" applyFont="1" applyFill="1" applyBorder="1" applyAlignment="1">
      <alignment horizontal="left" wrapText="1"/>
    </xf>
    <xf numFmtId="3" fontId="3" fillId="2" borderId="7" xfId="0" applyNumberFormat="1" applyFont="1" applyFill="1" applyBorder="1" applyAlignment="1">
      <alignment horizontal="center" shrinkToFit="1"/>
    </xf>
    <xf numFmtId="1" fontId="10" fillId="0" borderId="10" xfId="0" applyNumberFormat="1" applyFont="1" applyBorder="1" applyAlignment="1">
      <alignment horizontal="left" shrinkToFit="1"/>
    </xf>
    <xf numFmtId="3" fontId="3" fillId="0" borderId="10" xfId="0" applyNumberFormat="1" applyFont="1" applyBorder="1" applyAlignment="1">
      <alignment horizontal="center" shrinkToFit="1"/>
    </xf>
    <xf numFmtId="7" fontId="3" fillId="0" borderId="13" xfId="0" applyNumberFormat="1" applyFont="1" applyBorder="1" applyAlignment="1">
      <alignment horizontal="right" shrinkToFit="1"/>
    </xf>
    <xf numFmtId="7" fontId="3" fillId="0" borderId="14" xfId="0" applyNumberFormat="1" applyFont="1" applyBorder="1" applyAlignment="1">
      <alignment horizontal="right" shrinkToFit="1"/>
    </xf>
    <xf numFmtId="7" fontId="4" fillId="0" borderId="15" xfId="0" applyNumberFormat="1" applyFont="1" applyBorder="1" applyAlignment="1">
      <alignment horizontal="right" shrinkToFit="1"/>
    </xf>
    <xf numFmtId="1" fontId="10" fillId="2" borderId="10" xfId="0" applyNumberFormat="1" applyFont="1" applyFill="1" applyBorder="1" applyAlignment="1">
      <alignment horizontal="left" shrinkToFit="1"/>
    </xf>
    <xf numFmtId="3" fontId="3" fillId="2" borderId="10" xfId="0" applyNumberFormat="1" applyFont="1" applyFill="1" applyBorder="1" applyAlignment="1">
      <alignment horizontal="center" shrinkToFit="1"/>
    </xf>
    <xf numFmtId="7" fontId="3" fillId="2" borderId="13" xfId="0" applyNumberFormat="1" applyFont="1" applyFill="1" applyBorder="1" applyAlignment="1">
      <alignment horizontal="right" shrinkToFit="1"/>
    </xf>
    <xf numFmtId="7" fontId="3" fillId="2" borderId="14" xfId="0" applyNumberFormat="1" applyFont="1" applyFill="1" applyBorder="1" applyAlignment="1">
      <alignment horizontal="right" shrinkToFit="1"/>
    </xf>
    <xf numFmtId="7" fontId="4" fillId="2" borderId="15" xfId="0" applyNumberFormat="1" applyFont="1" applyFill="1" applyBorder="1" applyAlignment="1">
      <alignment horizontal="right" shrinkToFit="1"/>
    </xf>
    <xf numFmtId="0" fontId="8" fillId="0" borderId="10" xfId="0" applyFont="1" applyBorder="1" applyAlignment="1">
      <alignment horizontal="left" wrapText="1"/>
    </xf>
    <xf numFmtId="0" fontId="8" fillId="2" borderId="10" xfId="0" applyFont="1" applyFill="1" applyBorder="1" applyAlignment="1">
      <alignment horizontal="left" wrapText="1"/>
    </xf>
    <xf numFmtId="7" fontId="11" fillId="0" borderId="13" xfId="0" applyNumberFormat="1" applyFont="1" applyBorder="1" applyAlignment="1">
      <alignment horizontal="right" wrapText="1"/>
    </xf>
    <xf numFmtId="7" fontId="11" fillId="0" borderId="14" xfId="0" applyNumberFormat="1" applyFont="1" applyBorder="1" applyAlignment="1">
      <alignment horizontal="right" wrapText="1"/>
    </xf>
    <xf numFmtId="7" fontId="12" fillId="0" borderId="15" xfId="0" applyNumberFormat="1" applyFont="1" applyBorder="1" applyAlignment="1">
      <alignment horizontal="right" wrapText="1"/>
    </xf>
    <xf numFmtId="1" fontId="10" fillId="2" borderId="16" xfId="0" applyNumberFormat="1" applyFont="1" applyFill="1" applyBorder="1" applyAlignment="1">
      <alignment horizontal="left" shrinkToFit="1"/>
    </xf>
    <xf numFmtId="7" fontId="3" fillId="2" borderId="19" xfId="0" applyNumberFormat="1" applyFont="1" applyFill="1" applyBorder="1" applyAlignment="1">
      <alignment horizontal="right" shrinkToFit="1"/>
    </xf>
    <xf numFmtId="7" fontId="3" fillId="2" borderId="20" xfId="0" applyNumberFormat="1" applyFont="1" applyFill="1" applyBorder="1" applyAlignment="1">
      <alignment horizontal="right" shrinkToFit="1"/>
    </xf>
    <xf numFmtId="7" fontId="4" fillId="2" borderId="21" xfId="0" applyNumberFormat="1" applyFont="1" applyFill="1" applyBorder="1" applyAlignment="1">
      <alignment horizontal="right" shrinkToFit="1"/>
    </xf>
    <xf numFmtId="3" fontId="10" fillId="0" borderId="22" xfId="0" applyNumberFormat="1" applyFont="1" applyBorder="1" applyAlignment="1">
      <alignment horizontal="center" shrinkToFi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7" fontId="3" fillId="0" borderId="4" xfId="0" applyNumberFormat="1" applyFont="1" applyBorder="1" applyAlignment="1">
      <alignment horizontal="right" wrapText="1"/>
    </xf>
    <xf numFmtId="7" fontId="3" fillId="0" borderId="5" xfId="0" applyNumberFormat="1" applyFont="1" applyBorder="1" applyAlignment="1">
      <alignment horizontal="right" wrapText="1"/>
    </xf>
    <xf numFmtId="7" fontId="3" fillId="0" borderId="6" xfId="0" applyNumberFormat="1" applyFont="1" applyBorder="1" applyAlignment="1">
      <alignment horizontal="right" wrapText="1"/>
    </xf>
    <xf numFmtId="7" fontId="10" fillId="0" borderId="17" xfId="0" applyNumberFormat="1" applyFont="1" applyBorder="1" applyAlignment="1">
      <alignment horizontal="right" shrinkToFit="1"/>
    </xf>
    <xf numFmtId="7" fontId="10" fillId="0" borderId="18" xfId="0" applyNumberFormat="1" applyFont="1" applyBorder="1" applyAlignment="1">
      <alignment horizontal="right" shrinkToFit="1"/>
    </xf>
    <xf numFmtId="0" fontId="3" fillId="0" borderId="4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7" fontId="10" fillId="0" borderId="11" xfId="0" applyNumberFormat="1" applyFont="1" applyBorder="1" applyAlignment="1">
      <alignment horizontal="right" shrinkToFit="1"/>
    </xf>
    <xf numFmtId="7" fontId="10" fillId="0" borderId="12" xfId="0" applyNumberFormat="1" applyFont="1" applyBorder="1" applyAlignment="1">
      <alignment horizontal="right" shrinkToFit="1"/>
    </xf>
    <xf numFmtId="164" fontId="3" fillId="6" borderId="11" xfId="0" applyNumberFormat="1" applyFont="1" applyFill="1" applyBorder="1" applyAlignment="1">
      <alignment horizontal="right" shrinkToFit="1"/>
    </xf>
    <xf numFmtId="164" fontId="3" fillId="6" borderId="12" xfId="0" applyNumberFormat="1" applyFont="1" applyFill="1" applyBorder="1" applyAlignment="1">
      <alignment horizontal="right" shrinkToFit="1"/>
    </xf>
    <xf numFmtId="0" fontId="9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horizontal="left" wrapText="1"/>
    </xf>
    <xf numFmtId="7" fontId="10" fillId="2" borderId="11" xfId="0" applyNumberFormat="1" applyFont="1" applyFill="1" applyBorder="1" applyAlignment="1">
      <alignment horizontal="right" shrinkToFit="1"/>
    </xf>
    <xf numFmtId="7" fontId="10" fillId="2" borderId="12" xfId="0" applyNumberFormat="1" applyFont="1" applyFill="1" applyBorder="1" applyAlignment="1">
      <alignment horizontal="right" shrinkToFit="1"/>
    </xf>
    <xf numFmtId="164" fontId="3" fillId="0" borderId="17" xfId="0" applyNumberFormat="1" applyFont="1" applyBorder="1" applyAlignment="1">
      <alignment horizontal="right" shrinkToFit="1"/>
    </xf>
    <xf numFmtId="164" fontId="3" fillId="0" borderId="18" xfId="0" applyNumberFormat="1" applyFont="1" applyBorder="1" applyAlignment="1">
      <alignment horizontal="right" shrinkToFit="1"/>
    </xf>
    <xf numFmtId="164" fontId="3" fillId="0" borderId="11" xfId="0" applyNumberFormat="1" applyFont="1" applyBorder="1" applyAlignment="1">
      <alignment horizontal="right" shrinkToFit="1"/>
    </xf>
    <xf numFmtId="164" fontId="3" fillId="0" borderId="12" xfId="0" applyNumberFormat="1" applyFont="1" applyBorder="1" applyAlignment="1">
      <alignment horizontal="right" shrinkToFit="1"/>
    </xf>
    <xf numFmtId="0" fontId="9" fillId="2" borderId="11" xfId="0" applyFont="1" applyFill="1" applyBorder="1" applyAlignment="1">
      <alignment horizontal="left" wrapText="1"/>
    </xf>
    <xf numFmtId="0" fontId="9" fillId="2" borderId="12" xfId="0" applyFont="1" applyFill="1" applyBorder="1" applyAlignment="1">
      <alignment horizontal="left" wrapText="1"/>
    </xf>
    <xf numFmtId="164" fontId="3" fillId="3" borderId="11" xfId="0" applyNumberFormat="1" applyFont="1" applyFill="1" applyBorder="1" applyAlignment="1">
      <alignment horizontal="right" shrinkToFit="1"/>
    </xf>
    <xf numFmtId="164" fontId="3" fillId="3" borderId="12" xfId="0" applyNumberFormat="1" applyFont="1" applyFill="1" applyBorder="1" applyAlignment="1">
      <alignment horizontal="right" shrinkToFit="1"/>
    </xf>
    <xf numFmtId="7" fontId="8" fillId="0" borderId="11" xfId="0" applyNumberFormat="1" applyFont="1" applyBorder="1" applyAlignment="1">
      <alignment horizontal="right" wrapText="1"/>
    </xf>
    <xf numFmtId="7" fontId="8" fillId="0" borderId="12" xfId="0" applyNumberFormat="1" applyFont="1" applyBorder="1" applyAlignment="1">
      <alignment horizontal="right" wrapText="1"/>
    </xf>
    <xf numFmtId="14" fontId="11" fillId="0" borderId="11" xfId="0" applyNumberFormat="1" applyFont="1" applyBorder="1" applyAlignment="1">
      <alignment horizontal="right" wrapText="1"/>
    </xf>
    <xf numFmtId="14" fontId="11" fillId="0" borderId="12" xfId="0" applyNumberFormat="1" applyFont="1" applyBorder="1" applyAlignment="1">
      <alignment horizontal="right" wrapText="1"/>
    </xf>
    <xf numFmtId="14" fontId="11" fillId="2" borderId="11" xfId="0" applyNumberFormat="1" applyFont="1" applyFill="1" applyBorder="1" applyAlignment="1">
      <alignment horizontal="right" wrapText="1"/>
    </xf>
    <xf numFmtId="14" fontId="11" fillId="2" borderId="12" xfId="0" applyNumberFormat="1" applyFont="1" applyFill="1" applyBorder="1" applyAlignment="1">
      <alignment horizontal="right" wrapText="1"/>
    </xf>
    <xf numFmtId="0" fontId="11" fillId="0" borderId="11" xfId="0" applyFont="1" applyBorder="1" applyAlignment="1">
      <alignment horizontal="right" wrapText="1"/>
    </xf>
    <xf numFmtId="0" fontId="11" fillId="0" borderId="12" xfId="0" applyFont="1" applyBorder="1" applyAlignment="1">
      <alignment horizontal="right" wrapText="1"/>
    </xf>
    <xf numFmtId="0" fontId="11" fillId="2" borderId="11" xfId="0" applyFont="1" applyFill="1" applyBorder="1" applyAlignment="1">
      <alignment horizontal="right" wrapText="1"/>
    </xf>
    <xf numFmtId="0" fontId="11" fillId="2" borderId="12" xfId="0" applyFont="1" applyFill="1" applyBorder="1" applyAlignment="1">
      <alignment horizontal="right" wrapText="1"/>
    </xf>
    <xf numFmtId="164" fontId="3" fillId="2" borderId="11" xfId="0" applyNumberFormat="1" applyFont="1" applyFill="1" applyBorder="1" applyAlignment="1">
      <alignment horizontal="right" shrinkToFit="1"/>
    </xf>
    <xf numFmtId="164" fontId="3" fillId="2" borderId="12" xfId="0" applyNumberFormat="1" applyFont="1" applyFill="1" applyBorder="1" applyAlignment="1">
      <alignment horizontal="right" shrinkToFit="1"/>
    </xf>
    <xf numFmtId="14" fontId="11" fillId="3" borderId="11" xfId="0" applyNumberFormat="1" applyFont="1" applyFill="1" applyBorder="1" applyAlignment="1">
      <alignment horizontal="right" wrapText="1"/>
    </xf>
    <xf numFmtId="14" fontId="11" fillId="3" borderId="12" xfId="0" applyNumberFormat="1" applyFont="1" applyFill="1" applyBorder="1" applyAlignment="1">
      <alignment horizontal="right" wrapText="1"/>
    </xf>
    <xf numFmtId="0" fontId="9" fillId="5" borderId="11" xfId="0" applyFont="1" applyFill="1" applyBorder="1" applyAlignment="1">
      <alignment horizontal="left" wrapText="1"/>
    </xf>
    <xf numFmtId="0" fontId="9" fillId="5" borderId="12" xfId="0" applyFont="1" applyFill="1" applyBorder="1" applyAlignment="1">
      <alignment horizontal="left" wrapText="1"/>
    </xf>
    <xf numFmtId="164" fontId="3" fillId="4" borderId="11" xfId="0" applyNumberFormat="1" applyFont="1" applyFill="1" applyBorder="1" applyAlignment="1">
      <alignment horizontal="right" shrinkToFit="1"/>
    </xf>
    <xf numFmtId="164" fontId="3" fillId="4" borderId="12" xfId="0" applyNumberFormat="1" applyFont="1" applyFill="1" applyBorder="1" applyAlignment="1">
      <alignment horizontal="right" shrinkToFit="1"/>
    </xf>
    <xf numFmtId="0" fontId="5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7" fontId="10" fillId="2" borderId="8" xfId="0" applyNumberFormat="1" applyFont="1" applyFill="1" applyBorder="1" applyAlignment="1">
      <alignment horizontal="right" shrinkToFit="1"/>
    </xf>
    <xf numFmtId="7" fontId="10" fillId="2" borderId="9" xfId="0" applyNumberFormat="1" applyFont="1" applyFill="1" applyBorder="1" applyAlignment="1">
      <alignment horizontal="right" shrinkToFit="1"/>
    </xf>
    <xf numFmtId="164" fontId="3" fillId="2" borderId="8" xfId="0" applyNumberFormat="1" applyFont="1" applyFill="1" applyBorder="1" applyAlignment="1">
      <alignment horizontal="right" shrinkToFit="1"/>
    </xf>
    <xf numFmtId="164" fontId="3" fillId="2" borderId="9" xfId="0" applyNumberFormat="1" applyFont="1" applyFill="1" applyBorder="1" applyAlignment="1">
      <alignment horizontal="right" shrinkToFit="1"/>
    </xf>
    <xf numFmtId="0" fontId="1" fillId="7" borderId="14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2" fillId="7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vertical="center" wrapText="1"/>
    </xf>
    <xf numFmtId="3" fontId="2" fillId="8" borderId="14" xfId="0" applyNumberFormat="1" applyFont="1" applyFill="1" applyBorder="1" applyAlignment="1">
      <alignment horizontal="center" vertical="center" wrapText="1"/>
    </xf>
    <xf numFmtId="44" fontId="2" fillId="9" borderId="14" xfId="0" applyNumberFormat="1" applyFont="1" applyFill="1" applyBorder="1" applyAlignment="1">
      <alignment horizontal="center" vertical="center" wrapText="1"/>
    </xf>
    <xf numFmtId="44" fontId="2" fillId="10" borderId="14" xfId="0" applyNumberFormat="1" applyFont="1" applyFill="1" applyBorder="1" applyAlignment="1">
      <alignment horizontal="center" vertical="center" wrapText="1"/>
    </xf>
    <xf numFmtId="44" fontId="2" fillId="10" borderId="14" xfId="0" applyNumberFormat="1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44" fontId="2" fillId="9" borderId="14" xfId="0" applyNumberFormat="1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/>
    </xf>
    <xf numFmtId="0" fontId="2" fillId="7" borderId="14" xfId="0" applyFont="1" applyFill="1" applyBorder="1"/>
    <xf numFmtId="3" fontId="2" fillId="8" borderId="14" xfId="0" applyNumberFormat="1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 vertical="center"/>
    </xf>
    <xf numFmtId="3" fontId="2" fillId="10" borderId="14" xfId="0" applyNumberFormat="1" applyFont="1" applyFill="1" applyBorder="1" applyAlignment="1">
      <alignment horizontal="center"/>
    </xf>
    <xf numFmtId="0" fontId="2" fillId="10" borderId="14" xfId="0" applyFont="1" applyFill="1" applyBorder="1"/>
    <xf numFmtId="0" fontId="2" fillId="8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 vertical="center" wrapText="1"/>
    </xf>
    <xf numFmtId="44" fontId="14" fillId="5" borderId="14" xfId="0" applyNumberFormat="1" applyFont="1" applyFill="1" applyBorder="1" applyAlignment="1">
      <alignment horizontal="center" vertical="center" wrapText="1"/>
    </xf>
    <xf numFmtId="44" fontId="14" fillId="5" borderId="14" xfId="0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553-140A-46DA-98A6-81A64F13DD02}">
  <dimension ref="A1:T24"/>
  <sheetViews>
    <sheetView tabSelected="1" zoomScale="75" zoomScaleNormal="75" workbookViewId="0">
      <pane xSplit="1" topLeftCell="J1" activePane="topRight" state="frozen"/>
      <selection pane="topRight" activeCell="R1" sqref="R1:R1048576"/>
    </sheetView>
  </sheetViews>
  <sheetFormatPr defaultColWidth="18.765625" defaultRowHeight="30.55" customHeight="1" x14ac:dyDescent="0.35"/>
  <cols>
    <col min="1" max="1" width="8.53515625" style="108" customWidth="1"/>
    <col min="2" max="2" width="19.4609375" style="109" customWidth="1"/>
    <col min="3" max="3" width="6.765625" style="114" customWidth="1"/>
    <col min="4" max="8" width="7.3046875" style="111" customWidth="1"/>
    <col min="9" max="9" width="7.3046875" style="119" customWidth="1"/>
    <col min="10" max="10" width="10.4609375" style="115" customWidth="1"/>
    <col min="11" max="14" width="10.4609375" style="113" customWidth="1"/>
    <col min="15" max="15" width="27.23046875" style="99" customWidth="1"/>
    <col min="16" max="16" width="23.61328125" style="99" customWidth="1"/>
    <col min="17" max="17" width="33.3046875" style="99" customWidth="1"/>
    <col min="18" max="18" width="31.23046875" style="99" customWidth="1"/>
    <col min="19" max="19" width="23.3828125" style="99" customWidth="1"/>
    <col min="20" max="20" width="24.3828125" style="99" customWidth="1"/>
    <col min="21" max="16384" width="18.765625" style="99"/>
  </cols>
  <sheetData>
    <row r="1" spans="1:20" ht="30.55" customHeight="1" x14ac:dyDescent="0.35">
      <c r="A1" s="94" t="s">
        <v>0</v>
      </c>
      <c r="B1" s="94" t="s">
        <v>1</v>
      </c>
      <c r="C1" s="95" t="s">
        <v>2</v>
      </c>
      <c r="D1" s="96" t="s">
        <v>48</v>
      </c>
      <c r="E1" s="96" t="s">
        <v>49</v>
      </c>
      <c r="F1" s="96" t="s">
        <v>50</v>
      </c>
      <c r="G1" s="96" t="s">
        <v>51</v>
      </c>
      <c r="H1" s="96" t="s">
        <v>52</v>
      </c>
      <c r="I1" s="116"/>
      <c r="J1" s="97" t="s">
        <v>43</v>
      </c>
      <c r="K1" s="97" t="s">
        <v>44</v>
      </c>
      <c r="L1" s="97" t="s">
        <v>45</v>
      </c>
      <c r="M1" s="97" t="s">
        <v>46</v>
      </c>
      <c r="N1" s="97" t="s">
        <v>47</v>
      </c>
      <c r="O1" s="98" t="s">
        <v>28</v>
      </c>
      <c r="P1" s="98" t="s">
        <v>29</v>
      </c>
      <c r="Q1" s="98" t="s">
        <v>3</v>
      </c>
      <c r="R1" s="98" t="s">
        <v>78</v>
      </c>
      <c r="S1" s="98" t="s">
        <v>30</v>
      </c>
      <c r="T1" s="120" t="s">
        <v>75</v>
      </c>
    </row>
    <row r="2" spans="1:20" ht="30.55" customHeight="1" x14ac:dyDescent="0.35">
      <c r="A2" s="100" t="s">
        <v>4</v>
      </c>
      <c r="B2" s="101" t="s">
        <v>5</v>
      </c>
      <c r="C2" s="102">
        <v>9928</v>
      </c>
      <c r="D2" s="103">
        <v>15.35</v>
      </c>
      <c r="E2" s="103">
        <v>2.1</v>
      </c>
      <c r="F2" s="103">
        <v>0.9</v>
      </c>
      <c r="G2" s="103">
        <v>1</v>
      </c>
      <c r="H2" s="103">
        <v>19.349999999999998</v>
      </c>
      <c r="I2" s="117"/>
      <c r="J2" s="104">
        <f>D2*C2/12</f>
        <v>12699.566666666666</v>
      </c>
      <c r="K2" s="105">
        <f>E2*C2/12</f>
        <v>1737.3999999999999</v>
      </c>
      <c r="L2" s="105">
        <f>F2*C2/12</f>
        <v>744.6</v>
      </c>
      <c r="M2" s="105">
        <f>G2*C2/12</f>
        <v>827.33333333333337</v>
      </c>
      <c r="N2" s="105">
        <f>H2*C2/12</f>
        <v>16008.9</v>
      </c>
      <c r="O2" s="106" t="s">
        <v>77</v>
      </c>
      <c r="P2" s="106" t="s">
        <v>35</v>
      </c>
      <c r="Q2" s="106" t="s">
        <v>41</v>
      </c>
      <c r="R2" s="106"/>
      <c r="S2" s="106" t="s">
        <v>6</v>
      </c>
      <c r="T2" s="121">
        <v>12699.57</v>
      </c>
    </row>
    <row r="3" spans="1:20" ht="30.55" customHeight="1" x14ac:dyDescent="0.35">
      <c r="A3" s="100">
        <v>105</v>
      </c>
      <c r="B3" s="101" t="s">
        <v>7</v>
      </c>
      <c r="C3" s="102">
        <v>2222</v>
      </c>
      <c r="D3" s="103">
        <v>13.5</v>
      </c>
      <c r="E3" s="103">
        <v>2.1</v>
      </c>
      <c r="F3" s="103">
        <v>0.85</v>
      </c>
      <c r="G3" s="103">
        <v>1</v>
      </c>
      <c r="H3" s="103">
        <v>17.45</v>
      </c>
      <c r="I3" s="117"/>
      <c r="J3" s="104">
        <f>D3*C3/12</f>
        <v>2499.75</v>
      </c>
      <c r="K3" s="105">
        <f>E3*C3/12</f>
        <v>388.84999999999997</v>
      </c>
      <c r="L3" s="105">
        <f>F3*C3/12</f>
        <v>157.39166666666668</v>
      </c>
      <c r="M3" s="105">
        <f>G3*C3/12</f>
        <v>185.16666666666666</v>
      </c>
      <c r="N3" s="105">
        <f>H3*C3/12</f>
        <v>3231.1583333333333</v>
      </c>
      <c r="O3" s="106" t="s">
        <v>77</v>
      </c>
      <c r="P3" s="106" t="s">
        <v>35</v>
      </c>
      <c r="Q3" s="106" t="s">
        <v>41</v>
      </c>
      <c r="R3" s="106"/>
      <c r="S3" s="106" t="s">
        <v>6</v>
      </c>
      <c r="T3" s="121">
        <v>2499.75</v>
      </c>
    </row>
    <row r="4" spans="1:20" ht="30.55" customHeight="1" x14ac:dyDescent="0.35">
      <c r="A4" s="100">
        <v>107</v>
      </c>
      <c r="B4" s="101" t="s">
        <v>8</v>
      </c>
      <c r="C4" s="102">
        <v>1743</v>
      </c>
      <c r="D4" s="103">
        <v>13.5</v>
      </c>
      <c r="E4" s="103">
        <v>2.1</v>
      </c>
      <c r="F4" s="103">
        <v>0.9</v>
      </c>
      <c r="G4" s="103">
        <v>1</v>
      </c>
      <c r="H4" s="103">
        <v>17.5</v>
      </c>
      <c r="I4" s="117"/>
      <c r="J4" s="104">
        <f>D4*C4/12</f>
        <v>1960.875</v>
      </c>
      <c r="K4" s="105">
        <f>E4*C4/12</f>
        <v>305.02500000000003</v>
      </c>
      <c r="L4" s="105">
        <f>F4*C4/12</f>
        <v>130.72499999999999</v>
      </c>
      <c r="M4" s="105">
        <f>G4*C4/12</f>
        <v>145.25</v>
      </c>
      <c r="N4" s="105">
        <f>H4*C4/12</f>
        <v>2541.875</v>
      </c>
      <c r="O4" s="106" t="s">
        <v>77</v>
      </c>
      <c r="P4" s="106" t="s">
        <v>9</v>
      </c>
      <c r="Q4" s="106" t="s">
        <v>41</v>
      </c>
      <c r="R4" s="106"/>
      <c r="S4" s="106" t="s">
        <v>6</v>
      </c>
      <c r="T4" s="121" t="s">
        <v>76</v>
      </c>
    </row>
    <row r="5" spans="1:20" ht="30.55" customHeight="1" x14ac:dyDescent="0.35">
      <c r="A5" s="100">
        <v>109</v>
      </c>
      <c r="B5" s="101" t="s">
        <v>10</v>
      </c>
      <c r="C5" s="102">
        <v>2546</v>
      </c>
      <c r="D5" s="103">
        <v>14</v>
      </c>
      <c r="E5" s="103">
        <v>2.1</v>
      </c>
      <c r="F5" s="103">
        <v>0.85</v>
      </c>
      <c r="G5" s="103">
        <v>1</v>
      </c>
      <c r="H5" s="103">
        <v>17.950000000000003</v>
      </c>
      <c r="I5" s="117"/>
      <c r="J5" s="104">
        <f>D5*C5/12</f>
        <v>2970.3333333333335</v>
      </c>
      <c r="K5" s="105">
        <f>E5*C5/12</f>
        <v>445.55</v>
      </c>
      <c r="L5" s="105">
        <f>F5*C5/12</f>
        <v>180.34166666666667</v>
      </c>
      <c r="M5" s="105">
        <f>G5*C5/12</f>
        <v>212.16666666666666</v>
      </c>
      <c r="N5" s="105">
        <f>H5*C5/12</f>
        <v>3808.3916666666669</v>
      </c>
      <c r="O5" s="106" t="s">
        <v>77</v>
      </c>
      <c r="P5" s="106" t="s">
        <v>35</v>
      </c>
      <c r="Q5" s="106" t="s">
        <v>41</v>
      </c>
      <c r="R5" s="106"/>
      <c r="S5" s="106" t="s">
        <v>6</v>
      </c>
      <c r="T5" s="121">
        <v>2758.17</v>
      </c>
    </row>
    <row r="6" spans="1:20" ht="30.55" customHeight="1" x14ac:dyDescent="0.35">
      <c r="A6" s="100">
        <v>111</v>
      </c>
      <c r="B6" s="101" t="s">
        <v>11</v>
      </c>
      <c r="C6" s="102">
        <v>1690</v>
      </c>
      <c r="D6" s="103">
        <v>13.5</v>
      </c>
      <c r="E6" s="103">
        <v>2.1</v>
      </c>
      <c r="F6" s="103">
        <v>0.95</v>
      </c>
      <c r="G6" s="103">
        <v>1.95</v>
      </c>
      <c r="H6" s="103">
        <v>18.5</v>
      </c>
      <c r="I6" s="117"/>
      <c r="J6" s="104">
        <f>D6*C6/12</f>
        <v>1901.25</v>
      </c>
      <c r="K6" s="105">
        <f>E6*C6/12</f>
        <v>295.75</v>
      </c>
      <c r="L6" s="105">
        <f>F6*C6/12</f>
        <v>133.79166666666666</v>
      </c>
      <c r="M6" s="105">
        <f>G6*C6/12</f>
        <v>274.625</v>
      </c>
      <c r="N6" s="105">
        <f>H6*C6/12</f>
        <v>2605.4166666666665</v>
      </c>
      <c r="O6" s="106" t="s">
        <v>77</v>
      </c>
      <c r="P6" s="106" t="s">
        <v>35</v>
      </c>
      <c r="Q6" s="106" t="s">
        <v>41</v>
      </c>
      <c r="R6" s="106"/>
      <c r="S6" s="106" t="s">
        <v>6</v>
      </c>
      <c r="T6" s="121">
        <v>1901.25</v>
      </c>
    </row>
    <row r="7" spans="1:20" ht="30.55" customHeight="1" x14ac:dyDescent="0.35">
      <c r="A7" s="100">
        <v>113</v>
      </c>
      <c r="B7" s="101" t="s">
        <v>42</v>
      </c>
      <c r="C7" s="102">
        <v>2606</v>
      </c>
      <c r="D7" s="103">
        <v>13.5</v>
      </c>
      <c r="E7" s="103">
        <v>2.1</v>
      </c>
      <c r="F7" s="103">
        <v>0.95</v>
      </c>
      <c r="G7" s="103">
        <v>1.95</v>
      </c>
      <c r="H7" s="103">
        <v>18.5</v>
      </c>
      <c r="I7" s="117"/>
      <c r="J7" s="104">
        <f>D7*C7/12</f>
        <v>2931.75</v>
      </c>
      <c r="K7" s="105">
        <f>E7*C7/12</f>
        <v>456.05</v>
      </c>
      <c r="L7" s="105">
        <f>F7*C7/12</f>
        <v>206.30833333333331</v>
      </c>
      <c r="M7" s="105">
        <f>G7*C7/12</f>
        <v>423.47499999999997</v>
      </c>
      <c r="N7" s="105">
        <f>H7*C7/12</f>
        <v>4017.5833333333335</v>
      </c>
      <c r="O7" s="106" t="s">
        <v>77</v>
      </c>
      <c r="P7" s="106" t="s">
        <v>35</v>
      </c>
      <c r="Q7" s="106" t="s">
        <v>41</v>
      </c>
      <c r="R7" s="106"/>
      <c r="S7" s="106"/>
      <c r="T7" s="121">
        <v>3680.96</v>
      </c>
    </row>
    <row r="8" spans="1:20" ht="30.55" customHeight="1" x14ac:dyDescent="0.35">
      <c r="A8" s="100" t="s">
        <v>12</v>
      </c>
      <c r="B8" s="101" t="s">
        <v>13</v>
      </c>
      <c r="C8" s="102">
        <v>4340</v>
      </c>
      <c r="D8" s="103">
        <v>13.5</v>
      </c>
      <c r="E8" s="103">
        <v>2.1</v>
      </c>
      <c r="F8" s="103">
        <v>0.95</v>
      </c>
      <c r="G8" s="103">
        <v>1.85</v>
      </c>
      <c r="H8" s="103">
        <v>18.400000000000002</v>
      </c>
      <c r="I8" s="117"/>
      <c r="J8" s="104">
        <f>D8*C8/12</f>
        <v>4882.5</v>
      </c>
      <c r="K8" s="105">
        <f>E8*C8/12</f>
        <v>759.5</v>
      </c>
      <c r="L8" s="105">
        <f>F8*C8/12</f>
        <v>343.58333333333331</v>
      </c>
      <c r="M8" s="105">
        <f>G8*C8/12</f>
        <v>669.08333333333337</v>
      </c>
      <c r="N8" s="105">
        <f>H8*C8/12</f>
        <v>6654.6666666666679</v>
      </c>
      <c r="O8" s="106" t="s">
        <v>77</v>
      </c>
      <c r="P8" s="106" t="s">
        <v>36</v>
      </c>
      <c r="Q8" s="106" t="s">
        <v>41</v>
      </c>
      <c r="R8" s="106"/>
      <c r="S8" s="106" t="s">
        <v>6</v>
      </c>
      <c r="T8" s="121">
        <v>4941.37</v>
      </c>
    </row>
    <row r="9" spans="1:20" ht="30.55" customHeight="1" x14ac:dyDescent="0.35">
      <c r="A9" s="100">
        <v>117.5</v>
      </c>
      <c r="B9" s="101" t="s">
        <v>14</v>
      </c>
      <c r="C9" s="102">
        <v>1769</v>
      </c>
      <c r="D9" s="103">
        <v>14</v>
      </c>
      <c r="E9" s="103">
        <v>2.1</v>
      </c>
      <c r="F9" s="103">
        <v>1.2</v>
      </c>
      <c r="G9" s="103">
        <v>1.1499999999999999</v>
      </c>
      <c r="H9" s="103">
        <v>18.45</v>
      </c>
      <c r="I9" s="117"/>
      <c r="J9" s="104">
        <f>D9*C9/12</f>
        <v>2063.8333333333335</v>
      </c>
      <c r="K9" s="105">
        <f>E9*C9/12</f>
        <v>309.57499999999999</v>
      </c>
      <c r="L9" s="105">
        <f>F9*C9/12</f>
        <v>176.89999999999998</v>
      </c>
      <c r="M9" s="105">
        <f>G9*C9/12</f>
        <v>169.52916666666667</v>
      </c>
      <c r="N9" s="105">
        <f>H9*C9/12</f>
        <v>2719.8375000000001</v>
      </c>
      <c r="O9" s="106" t="s">
        <v>77</v>
      </c>
      <c r="P9" s="106" t="s">
        <v>35</v>
      </c>
      <c r="Q9" s="106" t="s">
        <v>41</v>
      </c>
      <c r="R9" s="106"/>
      <c r="S9" s="106" t="s">
        <v>6</v>
      </c>
      <c r="T9" s="121">
        <v>1842.71</v>
      </c>
    </row>
    <row r="10" spans="1:20" ht="30.55" customHeight="1" x14ac:dyDescent="0.35">
      <c r="A10" s="100">
        <v>119</v>
      </c>
      <c r="B10" s="101" t="s">
        <v>15</v>
      </c>
      <c r="C10" s="102">
        <v>1982</v>
      </c>
      <c r="D10" s="103">
        <v>13.5</v>
      </c>
      <c r="E10" s="103">
        <v>2.1</v>
      </c>
      <c r="F10" s="103">
        <v>0.9</v>
      </c>
      <c r="G10" s="103">
        <v>1</v>
      </c>
      <c r="H10" s="103">
        <v>17.5</v>
      </c>
      <c r="I10" s="117"/>
      <c r="J10" s="104">
        <f>D10*C10/12</f>
        <v>2229.75</v>
      </c>
      <c r="K10" s="105">
        <f>E10*C10/12</f>
        <v>346.84999999999997</v>
      </c>
      <c r="L10" s="105">
        <f>F10*C10/12</f>
        <v>148.65</v>
      </c>
      <c r="M10" s="105">
        <f>G10*C10/12</f>
        <v>165.16666666666666</v>
      </c>
      <c r="N10" s="105">
        <f>H10*C10/12</f>
        <v>2890.4166666666665</v>
      </c>
      <c r="O10" s="106" t="s">
        <v>77</v>
      </c>
      <c r="P10" s="106" t="s">
        <v>35</v>
      </c>
      <c r="Q10" s="106" t="s">
        <v>38</v>
      </c>
      <c r="R10" s="106"/>
      <c r="S10" s="106" t="s">
        <v>6</v>
      </c>
      <c r="T10" s="121">
        <v>2985.4</v>
      </c>
    </row>
    <row r="11" spans="1:20" ht="30.55" customHeight="1" x14ac:dyDescent="0.35">
      <c r="A11" s="100">
        <v>119.5</v>
      </c>
      <c r="B11" s="101" t="s">
        <v>16</v>
      </c>
      <c r="C11" s="102">
        <v>1974</v>
      </c>
      <c r="D11" s="103">
        <v>14</v>
      </c>
      <c r="E11" s="103">
        <v>2.1</v>
      </c>
      <c r="F11" s="103">
        <v>1.2</v>
      </c>
      <c r="G11" s="103">
        <v>1.1499999999999999</v>
      </c>
      <c r="H11" s="103">
        <v>18.45</v>
      </c>
      <c r="I11" s="117"/>
      <c r="J11" s="104">
        <f>D11*C11/12</f>
        <v>2303</v>
      </c>
      <c r="K11" s="105">
        <f>E11*C11/12</f>
        <v>345.45000000000005</v>
      </c>
      <c r="L11" s="105">
        <f>F11*C11/12</f>
        <v>197.39999999999998</v>
      </c>
      <c r="M11" s="105">
        <f>G11*C11/12</f>
        <v>189.17499999999998</v>
      </c>
      <c r="N11" s="105">
        <f>H11*C11/12</f>
        <v>3035.0249999999996</v>
      </c>
      <c r="O11" s="106" t="s">
        <v>77</v>
      </c>
      <c r="P11" s="106" t="s">
        <v>35</v>
      </c>
      <c r="Q11" s="106" t="s">
        <v>39</v>
      </c>
      <c r="R11" s="106"/>
      <c r="S11" s="106" t="s">
        <v>6</v>
      </c>
      <c r="T11" s="121">
        <v>2706.03</v>
      </c>
    </row>
    <row r="12" spans="1:20" ht="30.55" customHeight="1" x14ac:dyDescent="0.35">
      <c r="A12" s="100">
        <v>121</v>
      </c>
      <c r="B12" s="101" t="s">
        <v>37</v>
      </c>
      <c r="C12" s="102">
        <v>1709</v>
      </c>
      <c r="D12" s="103">
        <v>0</v>
      </c>
      <c r="E12" s="103">
        <v>0</v>
      </c>
      <c r="F12" s="103">
        <v>0</v>
      </c>
      <c r="G12" s="103">
        <v>0</v>
      </c>
      <c r="H12" s="103">
        <v>0</v>
      </c>
      <c r="I12" s="117"/>
      <c r="J12" s="104">
        <f>D12*C12/12</f>
        <v>0</v>
      </c>
      <c r="K12" s="105">
        <f>E12*C12/12</f>
        <v>0</v>
      </c>
      <c r="L12" s="105">
        <f>F12*C12/12</f>
        <v>0</v>
      </c>
      <c r="M12" s="105">
        <f>G12*C12/12</f>
        <v>0</v>
      </c>
      <c r="N12" s="105">
        <f>H12*C12/12</f>
        <v>0</v>
      </c>
      <c r="O12" s="106" t="s">
        <v>77</v>
      </c>
      <c r="P12" s="106" t="s">
        <v>35</v>
      </c>
      <c r="Q12" s="106" t="s">
        <v>41</v>
      </c>
      <c r="R12" s="106"/>
      <c r="S12" s="106" t="s">
        <v>6</v>
      </c>
      <c r="T12" s="121">
        <v>1958.23</v>
      </c>
    </row>
    <row r="13" spans="1:20" ht="30.55" customHeight="1" x14ac:dyDescent="0.35">
      <c r="A13" s="100">
        <v>123</v>
      </c>
      <c r="B13" s="101" t="s">
        <v>17</v>
      </c>
      <c r="C13" s="102">
        <v>3563</v>
      </c>
      <c r="D13" s="103">
        <v>13.5</v>
      </c>
      <c r="E13" s="103">
        <v>2.1</v>
      </c>
      <c r="F13" s="103">
        <v>0.95</v>
      </c>
      <c r="G13" s="103">
        <v>1.95</v>
      </c>
      <c r="H13" s="103">
        <v>18.5</v>
      </c>
      <c r="I13" s="117"/>
      <c r="J13" s="104">
        <f>D13*C13/12</f>
        <v>4008.375</v>
      </c>
      <c r="K13" s="105">
        <f>E13*C13/12</f>
        <v>623.52499999999998</v>
      </c>
      <c r="L13" s="105">
        <f>F13*C13/12</f>
        <v>282.07083333333333</v>
      </c>
      <c r="M13" s="105">
        <f>G13*C13/12</f>
        <v>578.98749999999995</v>
      </c>
      <c r="N13" s="105">
        <f>H13*C13/12</f>
        <v>5492.958333333333</v>
      </c>
      <c r="O13" s="106" t="s">
        <v>77</v>
      </c>
      <c r="P13" s="106" t="s">
        <v>35</v>
      </c>
      <c r="Q13" s="106" t="s">
        <v>41</v>
      </c>
      <c r="R13" s="106"/>
      <c r="S13" s="106" t="s">
        <v>6</v>
      </c>
      <c r="T13" s="121">
        <v>4008.38</v>
      </c>
    </row>
    <row r="14" spans="1:20" ht="30.55" customHeight="1" x14ac:dyDescent="0.35">
      <c r="A14" s="100" t="s">
        <v>18</v>
      </c>
      <c r="B14" s="101" t="s">
        <v>19</v>
      </c>
      <c r="C14" s="102">
        <v>4273</v>
      </c>
      <c r="D14" s="103">
        <v>13.5</v>
      </c>
      <c r="E14" s="103">
        <v>2.1</v>
      </c>
      <c r="F14" s="103">
        <v>0.95</v>
      </c>
      <c r="G14" s="103">
        <v>1.95</v>
      </c>
      <c r="H14" s="103">
        <v>18.5</v>
      </c>
      <c r="I14" s="117"/>
      <c r="J14" s="104">
        <f>D14*C14/12</f>
        <v>4807.125</v>
      </c>
      <c r="K14" s="105">
        <f>E14*C14/12</f>
        <v>747.77500000000009</v>
      </c>
      <c r="L14" s="105">
        <f>F14*C14/12</f>
        <v>338.27916666666664</v>
      </c>
      <c r="M14" s="105">
        <f>G14*C14/12</f>
        <v>694.36250000000007</v>
      </c>
      <c r="N14" s="105">
        <f>H14*C14/12</f>
        <v>6587.541666666667</v>
      </c>
      <c r="O14" s="106" t="s">
        <v>77</v>
      </c>
      <c r="P14" s="106" t="s">
        <v>36</v>
      </c>
      <c r="Q14" s="106" t="s">
        <v>41</v>
      </c>
      <c r="R14" s="106"/>
      <c r="S14" s="106" t="s">
        <v>6</v>
      </c>
      <c r="T14" s="121">
        <v>2500</v>
      </c>
    </row>
    <row r="15" spans="1:20" ht="30.55" customHeight="1" x14ac:dyDescent="0.35">
      <c r="A15" s="100">
        <v>129</v>
      </c>
      <c r="B15" s="101" t="s">
        <v>20</v>
      </c>
      <c r="C15" s="102">
        <v>1789</v>
      </c>
      <c r="D15" s="103">
        <v>14</v>
      </c>
      <c r="E15" s="103">
        <v>2.1</v>
      </c>
      <c r="F15" s="103">
        <v>0.95</v>
      </c>
      <c r="G15" s="103">
        <v>1.95</v>
      </c>
      <c r="H15" s="103">
        <v>19</v>
      </c>
      <c r="I15" s="117"/>
      <c r="J15" s="104">
        <f>D15*C15/12</f>
        <v>2087.1666666666665</v>
      </c>
      <c r="K15" s="105">
        <f>E15*C15/12</f>
        <v>313.07499999999999</v>
      </c>
      <c r="L15" s="105">
        <f>F15*C15/12</f>
        <v>141.62916666666666</v>
      </c>
      <c r="M15" s="105">
        <f>G15*C15/12</f>
        <v>290.71249999999998</v>
      </c>
      <c r="N15" s="105">
        <f>H15*C15/12</f>
        <v>2832.5833333333335</v>
      </c>
      <c r="O15" s="106" t="s">
        <v>77</v>
      </c>
      <c r="P15" s="106" t="s">
        <v>35</v>
      </c>
      <c r="Q15" s="106" t="s">
        <v>41</v>
      </c>
      <c r="R15" s="106"/>
      <c r="S15" s="106" t="s">
        <v>6</v>
      </c>
      <c r="T15" s="121">
        <v>2832.58</v>
      </c>
    </row>
    <row r="16" spans="1:20" ht="30.55" customHeight="1" x14ac:dyDescent="0.35">
      <c r="A16" s="100" t="s">
        <v>33</v>
      </c>
      <c r="B16" s="101" t="s">
        <v>34</v>
      </c>
      <c r="C16" s="102">
        <v>3179</v>
      </c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17"/>
      <c r="J16" s="104">
        <f>D16*C16/12</f>
        <v>0</v>
      </c>
      <c r="K16" s="105">
        <f>E16*C16/12</f>
        <v>0</v>
      </c>
      <c r="L16" s="105">
        <f>F16*C16/12</f>
        <v>0</v>
      </c>
      <c r="M16" s="105">
        <f>G16*C16/12</f>
        <v>0</v>
      </c>
      <c r="N16" s="105">
        <f>H16*C16/12</f>
        <v>0</v>
      </c>
      <c r="O16" s="106" t="s">
        <v>77</v>
      </c>
      <c r="P16" s="106"/>
      <c r="Q16" s="106" t="s">
        <v>41</v>
      </c>
      <c r="R16" s="106"/>
      <c r="S16" s="106" t="s">
        <v>6</v>
      </c>
      <c r="T16" s="106"/>
    </row>
    <row r="17" spans="1:20" ht="30.55" customHeight="1" x14ac:dyDescent="0.35">
      <c r="A17" s="100" t="s">
        <v>21</v>
      </c>
      <c r="B17" s="101" t="s">
        <v>22</v>
      </c>
      <c r="C17" s="102">
        <v>1580</v>
      </c>
      <c r="D17" s="103">
        <v>10.5</v>
      </c>
      <c r="E17" s="103">
        <v>2.1</v>
      </c>
      <c r="F17" s="103">
        <v>0.95</v>
      </c>
      <c r="G17" s="103">
        <v>1.95</v>
      </c>
      <c r="H17" s="103">
        <v>15.499999999999998</v>
      </c>
      <c r="I17" s="117"/>
      <c r="J17" s="104">
        <f>D17*C17/12</f>
        <v>1382.5</v>
      </c>
      <c r="K17" s="105">
        <f>E17*C17/12</f>
        <v>276.5</v>
      </c>
      <c r="L17" s="105">
        <f>F17*C17/12</f>
        <v>125.08333333333333</v>
      </c>
      <c r="M17" s="105">
        <f>G17*C17/12</f>
        <v>256.75</v>
      </c>
      <c r="N17" s="105">
        <f>H17*C17/12</f>
        <v>2040.833333333333</v>
      </c>
      <c r="O17" s="106" t="s">
        <v>77</v>
      </c>
      <c r="P17" s="106" t="s">
        <v>35</v>
      </c>
      <c r="Q17" s="106" t="s">
        <v>40</v>
      </c>
      <c r="R17" s="106"/>
      <c r="S17" s="106" t="s">
        <v>6</v>
      </c>
      <c r="T17" s="106"/>
    </row>
    <row r="18" spans="1:20" ht="30.55" customHeight="1" x14ac:dyDescent="0.35">
      <c r="A18" s="100" t="s">
        <v>31</v>
      </c>
      <c r="B18" s="101" t="s">
        <v>32</v>
      </c>
      <c r="C18" s="102">
        <v>1580</v>
      </c>
      <c r="D18" s="103">
        <v>0</v>
      </c>
      <c r="E18" s="103">
        <v>0</v>
      </c>
      <c r="F18" s="103">
        <v>0</v>
      </c>
      <c r="G18" s="103">
        <v>0</v>
      </c>
      <c r="H18" s="103">
        <v>0</v>
      </c>
      <c r="I18" s="117"/>
      <c r="J18" s="104">
        <f>D18*C18/12</f>
        <v>0</v>
      </c>
      <c r="K18" s="105">
        <f>E18*C18/12</f>
        <v>0</v>
      </c>
      <c r="L18" s="105">
        <f>F18*C18/12</f>
        <v>0</v>
      </c>
      <c r="M18" s="105">
        <f>G18*C18/12</f>
        <v>0</v>
      </c>
      <c r="N18" s="105">
        <f>H18*C18/12</f>
        <v>0</v>
      </c>
      <c r="O18" s="106" t="s">
        <v>77</v>
      </c>
      <c r="P18" s="106"/>
      <c r="Q18" s="106" t="s">
        <v>41</v>
      </c>
      <c r="R18" s="106"/>
      <c r="S18" s="106" t="s">
        <v>6</v>
      </c>
      <c r="T18" s="106"/>
    </row>
    <row r="19" spans="1:20" ht="30.55" customHeight="1" x14ac:dyDescent="0.35">
      <c r="A19" s="100">
        <v>137</v>
      </c>
      <c r="B19" s="101" t="s">
        <v>23</v>
      </c>
      <c r="C19" s="102">
        <v>2053</v>
      </c>
      <c r="D19" s="103">
        <v>13.5</v>
      </c>
      <c r="E19" s="103">
        <v>2.1</v>
      </c>
      <c r="F19" s="103">
        <v>0.95</v>
      </c>
      <c r="G19" s="103">
        <v>1.95</v>
      </c>
      <c r="H19" s="103">
        <v>18.5</v>
      </c>
      <c r="I19" s="117"/>
      <c r="J19" s="104">
        <f>D19*C19/12</f>
        <v>2309.625</v>
      </c>
      <c r="K19" s="105">
        <f>E19*C19/12</f>
        <v>359.27500000000003</v>
      </c>
      <c r="L19" s="105">
        <f>F19*C19/12</f>
        <v>162.52916666666667</v>
      </c>
      <c r="M19" s="105">
        <f>G19*C19/12</f>
        <v>333.61250000000001</v>
      </c>
      <c r="N19" s="105">
        <f>H19*C19/12</f>
        <v>3165.0416666666665</v>
      </c>
      <c r="O19" s="106" t="s">
        <v>77</v>
      </c>
      <c r="P19" s="106" t="s">
        <v>35</v>
      </c>
      <c r="Q19" s="106" t="s">
        <v>41</v>
      </c>
      <c r="R19" s="106"/>
      <c r="S19" s="106" t="s">
        <v>6</v>
      </c>
      <c r="T19" s="106"/>
    </row>
    <row r="20" spans="1:20" ht="30.55" customHeight="1" x14ac:dyDescent="0.35">
      <c r="A20" s="100" t="s">
        <v>24</v>
      </c>
      <c r="B20" s="101" t="s">
        <v>25</v>
      </c>
      <c r="C20" s="102">
        <v>3834</v>
      </c>
      <c r="D20" s="103">
        <v>13.5</v>
      </c>
      <c r="E20" s="103">
        <v>2.1</v>
      </c>
      <c r="F20" s="103">
        <v>0.95</v>
      </c>
      <c r="G20" s="103">
        <v>1.95</v>
      </c>
      <c r="H20" s="103">
        <v>18.5</v>
      </c>
      <c r="I20" s="117"/>
      <c r="J20" s="104">
        <f>D20*C20/12</f>
        <v>4313.25</v>
      </c>
      <c r="K20" s="105">
        <f>E20*C20/12</f>
        <v>670.95</v>
      </c>
      <c r="L20" s="105">
        <f>F20*C20/12</f>
        <v>303.52499999999998</v>
      </c>
      <c r="M20" s="105">
        <f>G20*C20/12</f>
        <v>623.02499999999998</v>
      </c>
      <c r="N20" s="105">
        <f>H20*C20/12</f>
        <v>5910.75</v>
      </c>
      <c r="O20" s="106" t="s">
        <v>77</v>
      </c>
      <c r="P20" s="106" t="s">
        <v>36</v>
      </c>
      <c r="Q20" s="106" t="s">
        <v>41</v>
      </c>
      <c r="R20" s="106"/>
      <c r="S20" s="106" t="s">
        <v>6</v>
      </c>
      <c r="T20" s="106"/>
    </row>
    <row r="21" spans="1:20" ht="30.55" customHeight="1" x14ac:dyDescent="0.35">
      <c r="A21" s="100">
        <v>143</v>
      </c>
      <c r="B21" s="101" t="s">
        <v>26</v>
      </c>
      <c r="C21" s="102">
        <v>1917</v>
      </c>
      <c r="D21" s="103">
        <v>16</v>
      </c>
      <c r="E21" s="103">
        <v>2.1</v>
      </c>
      <c r="F21" s="103">
        <v>0.85</v>
      </c>
      <c r="G21" s="103">
        <v>1</v>
      </c>
      <c r="H21" s="103">
        <v>19.950000000000003</v>
      </c>
      <c r="I21" s="117"/>
      <c r="J21" s="104">
        <f>D21*C21/12</f>
        <v>2556</v>
      </c>
      <c r="K21" s="105">
        <f>E21*C21/12</f>
        <v>335.47500000000002</v>
      </c>
      <c r="L21" s="105">
        <f>F21*C21/12</f>
        <v>135.78749999999999</v>
      </c>
      <c r="M21" s="105">
        <f>G21*C21/12</f>
        <v>159.75</v>
      </c>
      <c r="N21" s="105">
        <f>H21*C21/12</f>
        <v>3187.0125000000007</v>
      </c>
      <c r="O21" s="106" t="s">
        <v>77</v>
      </c>
      <c r="P21" s="106" t="s">
        <v>36</v>
      </c>
      <c r="Q21" s="106" t="s">
        <v>41</v>
      </c>
      <c r="R21" s="106"/>
      <c r="S21" s="106" t="s">
        <v>6</v>
      </c>
      <c r="T21" s="106"/>
    </row>
    <row r="22" spans="1:20" ht="30.55" customHeight="1" x14ac:dyDescent="0.35">
      <c r="A22" s="100">
        <v>145</v>
      </c>
      <c r="B22" s="101" t="s">
        <v>34</v>
      </c>
      <c r="C22" s="102">
        <v>1917</v>
      </c>
      <c r="D22" s="103">
        <v>13.5</v>
      </c>
      <c r="E22" s="103">
        <v>2.1</v>
      </c>
      <c r="F22" s="103">
        <v>0.85</v>
      </c>
      <c r="G22" s="103">
        <v>1</v>
      </c>
      <c r="H22" s="103">
        <v>17.45</v>
      </c>
      <c r="I22" s="117"/>
      <c r="J22" s="104">
        <f>D22*C22/12</f>
        <v>2156.625</v>
      </c>
      <c r="K22" s="105">
        <f>E22*C22/12</f>
        <v>335.47500000000002</v>
      </c>
      <c r="L22" s="105">
        <f>F22*C22/12</f>
        <v>135.78749999999999</v>
      </c>
      <c r="M22" s="105">
        <f>G22*C22/12</f>
        <v>159.75</v>
      </c>
      <c r="N22" s="105">
        <f>H22*C22/12</f>
        <v>2787.6375000000003</v>
      </c>
      <c r="O22" s="106" t="s">
        <v>77</v>
      </c>
      <c r="P22" s="106"/>
      <c r="Q22" s="106" t="s">
        <v>41</v>
      </c>
      <c r="R22" s="106"/>
      <c r="S22" s="106" t="s">
        <v>6</v>
      </c>
      <c r="T22" s="106"/>
    </row>
    <row r="23" spans="1:20" ht="30.55" customHeight="1" x14ac:dyDescent="0.35">
      <c r="A23" s="100">
        <v>149</v>
      </c>
      <c r="B23" s="101" t="s">
        <v>27</v>
      </c>
      <c r="C23" s="102">
        <v>4613</v>
      </c>
      <c r="D23" s="107">
        <v>16.25</v>
      </c>
      <c r="E23" s="107">
        <v>2.1</v>
      </c>
      <c r="F23" s="107">
        <v>0.85</v>
      </c>
      <c r="G23" s="107">
        <v>1</v>
      </c>
      <c r="H23" s="107">
        <v>20.200000000000003</v>
      </c>
      <c r="I23" s="118"/>
      <c r="J23" s="104">
        <f>D23*C23/12</f>
        <v>6246.770833333333</v>
      </c>
      <c r="K23" s="105">
        <f>E23*C23/12</f>
        <v>807.27500000000009</v>
      </c>
      <c r="L23" s="105">
        <f>F23*C23/12</f>
        <v>326.75416666666666</v>
      </c>
      <c r="M23" s="105">
        <f>G23*C23/12</f>
        <v>384.41666666666669</v>
      </c>
      <c r="N23" s="105">
        <f>H23*C23/12</f>
        <v>7765.2166666666681</v>
      </c>
      <c r="O23" s="106" t="s">
        <v>77</v>
      </c>
      <c r="P23" s="106" t="s">
        <v>36</v>
      </c>
      <c r="Q23" s="106" t="s">
        <v>41</v>
      </c>
      <c r="R23" s="106"/>
      <c r="S23" s="106" t="s">
        <v>6</v>
      </c>
      <c r="T23" s="106"/>
    </row>
    <row r="24" spans="1:20" ht="30.55" customHeight="1" x14ac:dyDescent="0.35">
      <c r="C24" s="110">
        <f>SUM(C2:C23)</f>
        <v>62807</v>
      </c>
      <c r="J24" s="112"/>
    </row>
  </sheetData>
  <pageMargins left="0.7" right="0.7" top="0.75" bottom="0.75" header="0.3" footer="0.3"/>
  <pageSetup orientation="portrait" horizontalDpi="0" verticalDpi="0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3BD6-6E68-40A3-BC8F-5B4E156D23B4}">
  <dimension ref="A1:M28"/>
  <sheetViews>
    <sheetView workbookViewId="0">
      <selection activeCell="G34" sqref="G34"/>
    </sheetView>
  </sheetViews>
  <sheetFormatPr defaultColWidth="7.921875" defaultRowHeight="18.45" x14ac:dyDescent="0.5"/>
  <cols>
    <col min="1" max="1" width="10.53515625" style="11" customWidth="1"/>
    <col min="2" max="2" width="26.3828125" style="11" customWidth="1"/>
    <col min="3" max="3" width="0.15234375" style="11" customWidth="1"/>
    <col min="4" max="4" width="8.765625" style="11" customWidth="1"/>
    <col min="5" max="8" width="8.84375" style="11" customWidth="1"/>
    <col min="9" max="9" width="9.69140625" style="11" customWidth="1"/>
    <col min="10" max="10" width="1" style="11" customWidth="1"/>
    <col min="11" max="11" width="14.69140625" style="11" customWidth="1"/>
    <col min="12" max="12" width="1" style="11" customWidth="1"/>
    <col min="13" max="13" width="19.765625" style="11" customWidth="1"/>
    <col min="14" max="14" width="6.61328125" style="11" customWidth="1"/>
    <col min="15" max="16384" width="7.921875" style="11"/>
  </cols>
  <sheetData>
    <row r="1" spans="1:13" s="4" customFormat="1" ht="20.149999999999999" thickBot="1" x14ac:dyDescent="0.7">
      <c r="A1" s="80" t="s">
        <v>53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2"/>
    </row>
    <row r="2" spans="1:13" s="5" customFormat="1" ht="15" thickBot="1" x14ac:dyDescent="0.45">
      <c r="A2" s="83" t="s">
        <v>54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5"/>
    </row>
    <row r="3" spans="1:13" s="9" customFormat="1" ht="18.899999999999999" thickBot="1" x14ac:dyDescent="0.55000000000000004">
      <c r="A3" s="6" t="s">
        <v>55</v>
      </c>
      <c r="B3" s="7" t="s">
        <v>56</v>
      </c>
      <c r="C3" s="86" t="s">
        <v>57</v>
      </c>
      <c r="D3" s="86"/>
      <c r="E3" s="7" t="s">
        <v>43</v>
      </c>
      <c r="F3" s="7" t="s">
        <v>44</v>
      </c>
      <c r="G3" s="7" t="s">
        <v>45</v>
      </c>
      <c r="H3" s="7" t="s">
        <v>46</v>
      </c>
      <c r="I3" s="86" t="s">
        <v>47</v>
      </c>
      <c r="J3" s="86"/>
      <c r="K3" s="86" t="s">
        <v>58</v>
      </c>
      <c r="L3" s="87"/>
      <c r="M3" s="8" t="s">
        <v>59</v>
      </c>
    </row>
    <row r="4" spans="1:13" ht="18.899999999999999" thickBot="1" x14ac:dyDescent="0.5500000000000000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5">
      <c r="A5" s="12" t="s">
        <v>4</v>
      </c>
      <c r="B5" s="88" t="s">
        <v>60</v>
      </c>
      <c r="C5" s="89"/>
      <c r="D5" s="13">
        <v>9928</v>
      </c>
      <c r="E5" s="1">
        <v>15.35</v>
      </c>
      <c r="F5" s="2">
        <v>2.1</v>
      </c>
      <c r="G5" s="2">
        <v>0.9</v>
      </c>
      <c r="H5" s="2">
        <v>1</v>
      </c>
      <c r="I5" s="3">
        <f t="shared" ref="I5:I21" si="0">SUM(E5:H5)</f>
        <v>19.349999999999998</v>
      </c>
      <c r="J5" s="90">
        <f>D5*I5/12</f>
        <v>16008.9</v>
      </c>
      <c r="K5" s="91"/>
      <c r="L5" s="92">
        <v>46446</v>
      </c>
      <c r="M5" s="93"/>
    </row>
    <row r="6" spans="1:13" x14ac:dyDescent="0.5">
      <c r="A6" s="14">
        <v>105</v>
      </c>
      <c r="B6" s="44" t="s">
        <v>7</v>
      </c>
      <c r="C6" s="45"/>
      <c r="D6" s="15">
        <v>2222</v>
      </c>
      <c r="E6" s="16">
        <v>13.5</v>
      </c>
      <c r="F6" s="17">
        <v>2.1</v>
      </c>
      <c r="G6" s="17">
        <v>0.85</v>
      </c>
      <c r="H6" s="17">
        <v>1</v>
      </c>
      <c r="I6" s="18">
        <f t="shared" si="0"/>
        <v>17.45</v>
      </c>
      <c r="J6" s="46">
        <f>D6*I6/12</f>
        <v>3231.1583333333333</v>
      </c>
      <c r="K6" s="47"/>
      <c r="L6" s="60">
        <v>46112</v>
      </c>
      <c r="M6" s="61"/>
    </row>
    <row r="7" spans="1:13" x14ac:dyDescent="0.5">
      <c r="A7" s="19">
        <v>107</v>
      </c>
      <c r="B7" s="58" t="s">
        <v>61</v>
      </c>
      <c r="C7" s="59"/>
      <c r="D7" s="20">
        <v>1743</v>
      </c>
      <c r="E7" s="21">
        <v>13.5</v>
      </c>
      <c r="F7" s="22">
        <v>2.1</v>
      </c>
      <c r="G7" s="22">
        <v>0.9</v>
      </c>
      <c r="H7" s="22">
        <v>1</v>
      </c>
      <c r="I7" s="23">
        <f t="shared" si="0"/>
        <v>17.5</v>
      </c>
      <c r="J7" s="52">
        <f>D7*I7/12</f>
        <v>2541.875</v>
      </c>
      <c r="K7" s="53"/>
      <c r="L7" s="72">
        <v>46477</v>
      </c>
      <c r="M7" s="73"/>
    </row>
    <row r="8" spans="1:13" x14ac:dyDescent="0.5">
      <c r="A8" s="14">
        <v>109</v>
      </c>
      <c r="B8" s="44" t="s">
        <v>62</v>
      </c>
      <c r="C8" s="45"/>
      <c r="D8" s="15">
        <v>2546</v>
      </c>
      <c r="E8" s="16">
        <v>14</v>
      </c>
      <c r="F8" s="17">
        <v>2.1</v>
      </c>
      <c r="G8" s="17">
        <v>0.85</v>
      </c>
      <c r="H8" s="17">
        <v>1</v>
      </c>
      <c r="I8" s="18">
        <f t="shared" si="0"/>
        <v>17.950000000000003</v>
      </c>
      <c r="J8" s="46">
        <f t="shared" ref="J8:J27" si="1">D8*I8/12</f>
        <v>3808.3916666666669</v>
      </c>
      <c r="K8" s="47"/>
      <c r="L8" s="78">
        <v>45930</v>
      </c>
      <c r="M8" s="79"/>
    </row>
    <row r="9" spans="1:13" x14ac:dyDescent="0.5">
      <c r="A9" s="19">
        <v>111</v>
      </c>
      <c r="B9" s="58" t="s">
        <v>63</v>
      </c>
      <c r="C9" s="59"/>
      <c r="D9" s="20">
        <v>1690</v>
      </c>
      <c r="E9" s="21">
        <v>13.5</v>
      </c>
      <c r="F9" s="22">
        <v>2.1</v>
      </c>
      <c r="G9" s="22">
        <v>0.95</v>
      </c>
      <c r="H9" s="22">
        <v>1.95</v>
      </c>
      <c r="I9" s="23">
        <f t="shared" si="0"/>
        <v>18.5</v>
      </c>
      <c r="J9" s="52">
        <f t="shared" si="1"/>
        <v>2605.4166666666665</v>
      </c>
      <c r="K9" s="53"/>
      <c r="L9" s="72">
        <v>46418</v>
      </c>
      <c r="M9" s="73"/>
    </row>
    <row r="10" spans="1:13" x14ac:dyDescent="0.5">
      <c r="A10" s="14">
        <v>113</v>
      </c>
      <c r="B10" s="76" t="s">
        <v>42</v>
      </c>
      <c r="C10" s="77"/>
      <c r="D10" s="15">
        <v>2606</v>
      </c>
      <c r="E10" s="16">
        <v>13.5</v>
      </c>
      <c r="F10" s="17">
        <v>2.1</v>
      </c>
      <c r="G10" s="17">
        <v>0.95</v>
      </c>
      <c r="H10" s="17">
        <v>1.95</v>
      </c>
      <c r="I10" s="18">
        <f t="shared" si="0"/>
        <v>18.5</v>
      </c>
      <c r="J10" s="46">
        <f t="shared" si="1"/>
        <v>4017.5833333333335</v>
      </c>
      <c r="K10" s="47"/>
      <c r="L10" s="56">
        <v>46568</v>
      </c>
      <c r="M10" s="57"/>
    </row>
    <row r="11" spans="1:13" x14ac:dyDescent="0.5">
      <c r="A11" s="19" t="s">
        <v>12</v>
      </c>
      <c r="B11" s="58" t="s">
        <v>64</v>
      </c>
      <c r="C11" s="59"/>
      <c r="D11" s="20">
        <v>4340</v>
      </c>
      <c r="E11" s="21">
        <v>13.5</v>
      </c>
      <c r="F11" s="22">
        <v>2.1</v>
      </c>
      <c r="G11" s="22">
        <v>0.95</v>
      </c>
      <c r="H11" s="22">
        <v>1.85</v>
      </c>
      <c r="I11" s="23">
        <f t="shared" si="0"/>
        <v>18.400000000000002</v>
      </c>
      <c r="J11" s="52">
        <f t="shared" si="1"/>
        <v>6654.6666666666679</v>
      </c>
      <c r="K11" s="53"/>
      <c r="L11" s="48">
        <v>46295</v>
      </c>
      <c r="M11" s="49"/>
    </row>
    <row r="12" spans="1:13" x14ac:dyDescent="0.5">
      <c r="A12" s="24" t="s">
        <v>65</v>
      </c>
      <c r="B12" s="44" t="s">
        <v>14</v>
      </c>
      <c r="C12" s="45"/>
      <c r="D12" s="15">
        <v>1769</v>
      </c>
      <c r="E12" s="16">
        <v>14</v>
      </c>
      <c r="F12" s="17">
        <v>2.1</v>
      </c>
      <c r="G12" s="17">
        <v>1.2</v>
      </c>
      <c r="H12" s="17">
        <v>1.1499999999999999</v>
      </c>
      <c r="I12" s="18">
        <f t="shared" si="0"/>
        <v>18.45</v>
      </c>
      <c r="J12" s="46">
        <f t="shared" si="1"/>
        <v>2719.8375000000001</v>
      </c>
      <c r="K12" s="47"/>
      <c r="L12" s="60">
        <v>46081</v>
      </c>
      <c r="M12" s="61"/>
    </row>
    <row r="13" spans="1:13" x14ac:dyDescent="0.5">
      <c r="A13" s="19">
        <v>119</v>
      </c>
      <c r="B13" s="58" t="s">
        <v>15</v>
      </c>
      <c r="C13" s="59"/>
      <c r="D13" s="20">
        <v>1982</v>
      </c>
      <c r="E13" s="21">
        <v>13.5</v>
      </c>
      <c r="F13" s="22">
        <v>2.1</v>
      </c>
      <c r="G13" s="22">
        <v>0.9</v>
      </c>
      <c r="H13" s="22">
        <v>1</v>
      </c>
      <c r="I13" s="23">
        <f t="shared" si="0"/>
        <v>17.5</v>
      </c>
      <c r="J13" s="52">
        <f t="shared" si="1"/>
        <v>2890.4166666666665</v>
      </c>
      <c r="K13" s="53"/>
      <c r="L13" s="74">
        <v>46081</v>
      </c>
      <c r="M13" s="75"/>
    </row>
    <row r="14" spans="1:13" x14ac:dyDescent="0.5">
      <c r="A14" s="24" t="s">
        <v>66</v>
      </c>
      <c r="B14" s="44" t="s">
        <v>16</v>
      </c>
      <c r="C14" s="45"/>
      <c r="D14" s="15">
        <v>1974</v>
      </c>
      <c r="E14" s="16">
        <v>14</v>
      </c>
      <c r="F14" s="17">
        <v>2.1</v>
      </c>
      <c r="G14" s="17">
        <v>1.2</v>
      </c>
      <c r="H14" s="17">
        <v>1.1499999999999999</v>
      </c>
      <c r="I14" s="18">
        <f t="shared" si="0"/>
        <v>18.45</v>
      </c>
      <c r="J14" s="46">
        <f t="shared" si="1"/>
        <v>3035.0249999999996</v>
      </c>
      <c r="K14" s="47"/>
      <c r="L14" s="60">
        <v>46081</v>
      </c>
      <c r="M14" s="61"/>
    </row>
    <row r="15" spans="1:13" x14ac:dyDescent="0.5">
      <c r="A15" s="19">
        <v>121</v>
      </c>
      <c r="B15" s="58" t="s">
        <v>37</v>
      </c>
      <c r="C15" s="59"/>
      <c r="D15" s="20">
        <v>1709</v>
      </c>
      <c r="E15" s="21">
        <v>0</v>
      </c>
      <c r="F15" s="22">
        <v>0</v>
      </c>
      <c r="G15" s="22">
        <v>0</v>
      </c>
      <c r="H15" s="22">
        <v>0</v>
      </c>
      <c r="I15" s="23">
        <f t="shared" si="0"/>
        <v>0</v>
      </c>
      <c r="J15" s="52">
        <f t="shared" si="1"/>
        <v>0</v>
      </c>
      <c r="K15" s="53"/>
      <c r="L15" s="72" t="s">
        <v>67</v>
      </c>
      <c r="M15" s="73"/>
    </row>
    <row r="16" spans="1:13" x14ac:dyDescent="0.5">
      <c r="A16" s="14">
        <v>123</v>
      </c>
      <c r="B16" s="44" t="s">
        <v>68</v>
      </c>
      <c r="C16" s="45"/>
      <c r="D16" s="15">
        <v>3563</v>
      </c>
      <c r="E16" s="16">
        <v>13.5</v>
      </c>
      <c r="F16" s="17">
        <v>2.1</v>
      </c>
      <c r="G16" s="17">
        <v>0.95</v>
      </c>
      <c r="H16" s="17">
        <v>1.95</v>
      </c>
      <c r="I16" s="18">
        <f t="shared" si="0"/>
        <v>18.5</v>
      </c>
      <c r="J16" s="46">
        <f t="shared" si="1"/>
        <v>5492.958333333333</v>
      </c>
      <c r="K16" s="47"/>
      <c r="L16" s="64">
        <v>47483</v>
      </c>
      <c r="M16" s="65"/>
    </row>
    <row r="17" spans="1:13" x14ac:dyDescent="0.5">
      <c r="A17" s="25" t="s">
        <v>18</v>
      </c>
      <c r="B17" s="58" t="s">
        <v>69</v>
      </c>
      <c r="C17" s="59"/>
      <c r="D17" s="20">
        <v>4273</v>
      </c>
      <c r="E17" s="21">
        <v>13.5</v>
      </c>
      <c r="F17" s="22">
        <v>2.1</v>
      </c>
      <c r="G17" s="22">
        <v>0.95</v>
      </c>
      <c r="H17" s="22">
        <v>1.95</v>
      </c>
      <c r="I17" s="23">
        <f t="shared" si="0"/>
        <v>18.5</v>
      </c>
      <c r="J17" s="52">
        <f t="shared" si="1"/>
        <v>6587.541666666667</v>
      </c>
      <c r="K17" s="53"/>
      <c r="L17" s="72">
        <v>46873</v>
      </c>
      <c r="M17" s="73"/>
    </row>
    <row r="18" spans="1:13" x14ac:dyDescent="0.5">
      <c r="A18" s="14">
        <v>129</v>
      </c>
      <c r="B18" s="44" t="s">
        <v>70</v>
      </c>
      <c r="C18" s="45"/>
      <c r="D18" s="15">
        <v>1789</v>
      </c>
      <c r="E18" s="16">
        <v>14</v>
      </c>
      <c r="F18" s="17">
        <v>2.1</v>
      </c>
      <c r="G18" s="17">
        <v>0.95</v>
      </c>
      <c r="H18" s="17">
        <v>1.95</v>
      </c>
      <c r="I18" s="18">
        <f t="shared" si="0"/>
        <v>19</v>
      </c>
      <c r="J18" s="46">
        <f t="shared" si="1"/>
        <v>2832.5833333333335</v>
      </c>
      <c r="K18" s="47"/>
      <c r="L18" s="56">
        <v>47361</v>
      </c>
      <c r="M18" s="57"/>
    </row>
    <row r="19" spans="1:13" x14ac:dyDescent="0.5">
      <c r="A19" s="25">
        <v>131</v>
      </c>
      <c r="B19" s="58" t="s">
        <v>71</v>
      </c>
      <c r="C19" s="59"/>
      <c r="D19" s="20">
        <v>1907</v>
      </c>
      <c r="E19" s="21">
        <v>0</v>
      </c>
      <c r="F19" s="22">
        <v>0</v>
      </c>
      <c r="G19" s="22">
        <v>0</v>
      </c>
      <c r="H19" s="22">
        <v>0</v>
      </c>
      <c r="I19" s="23">
        <f t="shared" si="0"/>
        <v>0</v>
      </c>
      <c r="J19" s="52">
        <f t="shared" si="1"/>
        <v>0</v>
      </c>
      <c r="K19" s="53"/>
      <c r="L19" s="70" t="s">
        <v>67</v>
      </c>
      <c r="M19" s="71"/>
    </row>
    <row r="20" spans="1:13" x14ac:dyDescent="0.5">
      <c r="A20" s="24">
        <v>133</v>
      </c>
      <c r="B20" s="44" t="s">
        <v>71</v>
      </c>
      <c r="C20" s="45"/>
      <c r="D20" s="15">
        <v>1272</v>
      </c>
      <c r="E20" s="16">
        <v>0</v>
      </c>
      <c r="F20" s="17">
        <v>0</v>
      </c>
      <c r="G20" s="17">
        <v>0</v>
      </c>
      <c r="H20" s="17">
        <v>0</v>
      </c>
      <c r="I20" s="23">
        <f t="shared" si="0"/>
        <v>0</v>
      </c>
      <c r="J20" s="46">
        <f t="shared" si="1"/>
        <v>0</v>
      </c>
      <c r="K20" s="47"/>
      <c r="L20" s="68" t="s">
        <v>67</v>
      </c>
      <c r="M20" s="69"/>
    </row>
    <row r="21" spans="1:13" x14ac:dyDescent="0.5">
      <c r="A21" s="25" t="s">
        <v>21</v>
      </c>
      <c r="B21" s="58" t="s">
        <v>72</v>
      </c>
      <c r="C21" s="59"/>
      <c r="D21" s="20">
        <v>1580</v>
      </c>
      <c r="E21" s="21">
        <v>10.5</v>
      </c>
      <c r="F21" s="22">
        <v>2.1</v>
      </c>
      <c r="G21" s="22">
        <v>0.95</v>
      </c>
      <c r="H21" s="22">
        <v>1.95</v>
      </c>
      <c r="I21" s="23">
        <f t="shared" si="0"/>
        <v>15.499999999999998</v>
      </c>
      <c r="J21" s="52">
        <f t="shared" si="1"/>
        <v>2040.833333333333</v>
      </c>
      <c r="K21" s="53"/>
      <c r="L21" s="66">
        <v>47999</v>
      </c>
      <c r="M21" s="67"/>
    </row>
    <row r="22" spans="1:13" x14ac:dyDescent="0.5">
      <c r="A22" s="24" t="s">
        <v>31</v>
      </c>
      <c r="B22" s="44" t="s">
        <v>32</v>
      </c>
      <c r="C22" s="45"/>
      <c r="D22" s="15">
        <v>1580</v>
      </c>
      <c r="E22" s="26">
        <v>0</v>
      </c>
      <c r="F22" s="27">
        <v>0</v>
      </c>
      <c r="G22" s="17">
        <v>0</v>
      </c>
      <c r="H22" s="27">
        <v>0</v>
      </c>
      <c r="I22" s="28">
        <f>SUM(H22)</f>
        <v>0</v>
      </c>
      <c r="J22" s="62">
        <f t="shared" si="1"/>
        <v>0</v>
      </c>
      <c r="K22" s="63"/>
      <c r="L22" s="64" t="s">
        <v>67</v>
      </c>
      <c r="M22" s="65"/>
    </row>
    <row r="23" spans="1:13" x14ac:dyDescent="0.5">
      <c r="A23" s="19">
        <v>137</v>
      </c>
      <c r="B23" s="58" t="s">
        <v>23</v>
      </c>
      <c r="C23" s="59"/>
      <c r="D23" s="20">
        <v>2053</v>
      </c>
      <c r="E23" s="21">
        <v>13.5</v>
      </c>
      <c r="F23" s="22">
        <v>2.1</v>
      </c>
      <c r="G23" s="22">
        <v>0.95</v>
      </c>
      <c r="H23" s="22">
        <v>1.95</v>
      </c>
      <c r="I23" s="23">
        <f>SUM(E23:H23)</f>
        <v>18.5</v>
      </c>
      <c r="J23" s="52">
        <f t="shared" si="1"/>
        <v>3165.0416666666665</v>
      </c>
      <c r="K23" s="53"/>
      <c r="L23" s="66">
        <v>47787</v>
      </c>
      <c r="M23" s="67"/>
    </row>
    <row r="24" spans="1:13" x14ac:dyDescent="0.5">
      <c r="A24" s="24" t="s">
        <v>73</v>
      </c>
      <c r="B24" s="44" t="s">
        <v>25</v>
      </c>
      <c r="C24" s="45"/>
      <c r="D24" s="15">
        <v>3834</v>
      </c>
      <c r="E24" s="16">
        <v>13.5</v>
      </c>
      <c r="F24" s="17">
        <v>2.1</v>
      </c>
      <c r="G24" s="17">
        <v>0.95</v>
      </c>
      <c r="H24" s="17">
        <v>1.95</v>
      </c>
      <c r="I24" s="18">
        <f>SUM(E24:H24)</f>
        <v>18.5</v>
      </c>
      <c r="J24" s="46">
        <f t="shared" si="1"/>
        <v>5910.75</v>
      </c>
      <c r="K24" s="47"/>
      <c r="L24" s="56">
        <v>46507</v>
      </c>
      <c r="M24" s="57"/>
    </row>
    <row r="25" spans="1:13" x14ac:dyDescent="0.5">
      <c r="A25" s="19">
        <v>143</v>
      </c>
      <c r="B25" s="58" t="s">
        <v>74</v>
      </c>
      <c r="C25" s="59"/>
      <c r="D25" s="20">
        <v>1917</v>
      </c>
      <c r="E25" s="21">
        <v>16</v>
      </c>
      <c r="F25" s="22">
        <v>2.1</v>
      </c>
      <c r="G25" s="22">
        <v>0.85</v>
      </c>
      <c r="H25" s="22">
        <v>1</v>
      </c>
      <c r="I25" s="23">
        <f>SUM(E25:H25)</f>
        <v>19.950000000000003</v>
      </c>
      <c r="J25" s="52">
        <f t="shared" si="1"/>
        <v>3187.0125000000007</v>
      </c>
      <c r="K25" s="53"/>
      <c r="L25" s="60">
        <v>46053</v>
      </c>
      <c r="M25" s="61"/>
    </row>
    <row r="26" spans="1:13" x14ac:dyDescent="0.5">
      <c r="A26" s="14">
        <v>145</v>
      </c>
      <c r="B26" s="44" t="s">
        <v>71</v>
      </c>
      <c r="C26" s="45"/>
      <c r="D26" s="15">
        <v>1917</v>
      </c>
      <c r="E26" s="16">
        <v>13.5</v>
      </c>
      <c r="F26" s="17">
        <v>2.1</v>
      </c>
      <c r="G26" s="17">
        <v>0.85</v>
      </c>
      <c r="H26" s="17">
        <v>1</v>
      </c>
      <c r="I26" s="18">
        <f>SUM(E26:H26)</f>
        <v>17.45</v>
      </c>
      <c r="J26" s="46">
        <v>0</v>
      </c>
      <c r="K26" s="47"/>
      <c r="L26" s="48">
        <v>46387</v>
      </c>
      <c r="M26" s="49"/>
    </row>
    <row r="27" spans="1:13" ht="18.899999999999999" thickBot="1" x14ac:dyDescent="0.55000000000000004">
      <c r="A27" s="29">
        <v>149</v>
      </c>
      <c r="B27" s="50" t="s">
        <v>27</v>
      </c>
      <c r="C27" s="51"/>
      <c r="D27" s="20">
        <v>4613</v>
      </c>
      <c r="E27" s="30">
        <v>16.25</v>
      </c>
      <c r="F27" s="31">
        <v>2.1</v>
      </c>
      <c r="G27" s="31">
        <v>0.85</v>
      </c>
      <c r="H27" s="31">
        <v>1</v>
      </c>
      <c r="I27" s="32">
        <f>SUM(E27:H27)</f>
        <v>20.200000000000003</v>
      </c>
      <c r="J27" s="52">
        <f t="shared" si="1"/>
        <v>7765.2166666666681</v>
      </c>
      <c r="K27" s="53"/>
      <c r="L27" s="54">
        <v>47787</v>
      </c>
      <c r="M27" s="55"/>
    </row>
    <row r="28" spans="1:13" ht="18.899999999999999" thickBot="1" x14ac:dyDescent="0.55000000000000004">
      <c r="A28" s="34"/>
      <c r="B28" s="35"/>
      <c r="C28" s="36"/>
      <c r="D28" s="33">
        <v>62810</v>
      </c>
      <c r="E28" s="37"/>
      <c r="F28" s="38"/>
      <c r="G28" s="38"/>
      <c r="H28" s="38"/>
      <c r="I28" s="39"/>
      <c r="J28" s="40">
        <f>SUM(J5:J27)</f>
        <v>84495.208333333343</v>
      </c>
      <c r="K28" s="41"/>
      <c r="L28" s="42"/>
      <c r="M28" s="43"/>
    </row>
  </sheetData>
  <mergeCells count="78">
    <mergeCell ref="B5:C5"/>
    <mergeCell ref="J5:K5"/>
    <mergeCell ref="L5:M5"/>
    <mergeCell ref="A1:M1"/>
    <mergeCell ref="A2:M2"/>
    <mergeCell ref="C3:D3"/>
    <mergeCell ref="I3:J3"/>
    <mergeCell ref="K3:L3"/>
    <mergeCell ref="B6:C6"/>
    <mergeCell ref="J6:K6"/>
    <mergeCell ref="L6:M6"/>
    <mergeCell ref="B7:C7"/>
    <mergeCell ref="J7:K7"/>
    <mergeCell ref="L7:M7"/>
    <mergeCell ref="B8:C8"/>
    <mergeCell ref="J8:K8"/>
    <mergeCell ref="L8:M8"/>
    <mergeCell ref="B9:C9"/>
    <mergeCell ref="J9:K9"/>
    <mergeCell ref="L9:M9"/>
    <mergeCell ref="B10:C10"/>
    <mergeCell ref="J10:K10"/>
    <mergeCell ref="L10:M10"/>
    <mergeCell ref="B11:C11"/>
    <mergeCell ref="J11:K11"/>
    <mergeCell ref="L11:M11"/>
    <mergeCell ref="B12:C12"/>
    <mergeCell ref="J12:K12"/>
    <mergeCell ref="L12:M12"/>
    <mergeCell ref="B13:C13"/>
    <mergeCell ref="J13:K13"/>
    <mergeCell ref="L13:M13"/>
    <mergeCell ref="B14:C14"/>
    <mergeCell ref="J14:K14"/>
    <mergeCell ref="L14:M14"/>
    <mergeCell ref="B15:C15"/>
    <mergeCell ref="J15:K15"/>
    <mergeCell ref="L15:M15"/>
    <mergeCell ref="B16:C16"/>
    <mergeCell ref="J16:K16"/>
    <mergeCell ref="L16:M16"/>
    <mergeCell ref="B17:C17"/>
    <mergeCell ref="J17:K17"/>
    <mergeCell ref="L17:M17"/>
    <mergeCell ref="B18:C18"/>
    <mergeCell ref="J18:K18"/>
    <mergeCell ref="L18:M18"/>
    <mergeCell ref="B19:C19"/>
    <mergeCell ref="J19:K19"/>
    <mergeCell ref="L19:M19"/>
    <mergeCell ref="B20:C20"/>
    <mergeCell ref="J20:K20"/>
    <mergeCell ref="L20:M20"/>
    <mergeCell ref="B21:C21"/>
    <mergeCell ref="J21:K21"/>
    <mergeCell ref="L21:M21"/>
    <mergeCell ref="B22:C22"/>
    <mergeCell ref="J22:K22"/>
    <mergeCell ref="L22:M22"/>
    <mergeCell ref="B23:C23"/>
    <mergeCell ref="J23:K23"/>
    <mergeCell ref="L23:M23"/>
    <mergeCell ref="B24:C24"/>
    <mergeCell ref="J24:K24"/>
    <mergeCell ref="L24:M24"/>
    <mergeCell ref="B25:C25"/>
    <mergeCell ref="J25:K25"/>
    <mergeCell ref="L25:M25"/>
    <mergeCell ref="A28:C28"/>
    <mergeCell ref="E28:I28"/>
    <mergeCell ref="J28:K28"/>
    <mergeCell ref="L28:M28"/>
    <mergeCell ref="B26:C26"/>
    <mergeCell ref="J26:K26"/>
    <mergeCell ref="L26:M26"/>
    <mergeCell ref="B27:C27"/>
    <mergeCell ref="J27:K27"/>
    <mergeCell ref="L27:M27"/>
  </mergeCells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2026-03-04T01:12:17Z</dcterms:created>
  <dcterms:modified xsi:type="dcterms:W3CDTF">2026-03-11T00:16:42Z</dcterms:modified>
</cp:coreProperties>
</file>