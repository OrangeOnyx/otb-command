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\Desktop\Rent Rolls July\"/>
    </mc:Choice>
  </mc:AlternateContent>
  <xr:revisionPtr revIDLastSave="0" documentId="13_ncr:1_{A659DE86-AD74-4950-8587-26016C681549}" xr6:coauthVersionLast="45" xr6:coauthVersionMax="45" xr10:uidLastSave="{00000000-0000-0000-0000-000000000000}"/>
  <bookViews>
    <workbookView xWindow="2688" yWindow="1368" windowWidth="16776" windowHeight="8436" xr2:uid="{2D8B4ADC-8DEB-4A41-9EA8-9AC97045D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" i="1" l="1"/>
  <c r="L9" i="1"/>
  <c r="K10" i="1"/>
  <c r="G10" i="1"/>
  <c r="I3" i="1"/>
  <c r="L3" i="1" s="1"/>
  <c r="J3" i="1"/>
  <c r="H4" i="1"/>
  <c r="L4" i="1" s="1"/>
  <c r="I4" i="1"/>
  <c r="J4" i="1"/>
  <c r="L5" i="1"/>
  <c r="H6" i="1"/>
  <c r="L6" i="1" s="1"/>
  <c r="I6" i="1"/>
  <c r="J6" i="1"/>
  <c r="K6" i="1"/>
  <c r="H7" i="1"/>
  <c r="L7" i="1" s="1"/>
  <c r="I7" i="1"/>
  <c r="J7" i="1"/>
  <c r="H8" i="1"/>
  <c r="M8" i="1" s="1"/>
  <c r="I8" i="1"/>
  <c r="J8" i="1"/>
  <c r="J10" i="1" s="1"/>
  <c r="F10" i="1"/>
  <c r="E10" i="1"/>
  <c r="D10" i="1"/>
  <c r="C10" i="1"/>
  <c r="M4" i="1" l="1"/>
  <c r="L8" i="1"/>
  <c r="H10" i="1"/>
  <c r="M6" i="1"/>
  <c r="M7" i="1"/>
  <c r="I10" i="1"/>
  <c r="L10" i="1"/>
  <c r="M10" i="1" l="1"/>
</calcChain>
</file>

<file path=xl/sharedStrings.xml><?xml version="1.0" encoding="utf-8"?>
<sst xmlns="http://schemas.openxmlformats.org/spreadsheetml/2006/main" count="39" uniqueCount="30">
  <si>
    <t>TENANT</t>
  </si>
  <si>
    <t>Hershey's</t>
  </si>
  <si>
    <t>Victoria Nails</t>
  </si>
  <si>
    <t>Human 360</t>
  </si>
  <si>
    <t xml:space="preserve">Lola Pink Fabrics </t>
  </si>
  <si>
    <t>Elle Rae Boutique</t>
  </si>
  <si>
    <t xml:space="preserve">Next Level Fitnes </t>
  </si>
  <si>
    <t>Jason's Deli</t>
  </si>
  <si>
    <t>TOTAL</t>
  </si>
  <si>
    <t>MONTH</t>
  </si>
  <si>
    <t xml:space="preserve">April 2020 </t>
  </si>
  <si>
    <t>May 2020</t>
  </si>
  <si>
    <t>June 2020</t>
  </si>
  <si>
    <t>125/127/137</t>
  </si>
  <si>
    <t>121/123</t>
  </si>
  <si>
    <t>107-115</t>
  </si>
  <si>
    <t xml:space="preserve">New April </t>
  </si>
  <si>
    <t>New May</t>
  </si>
  <si>
    <t>New June</t>
  </si>
  <si>
    <t>New July</t>
  </si>
  <si>
    <t>1/2 May, 1/2 June</t>
  </si>
  <si>
    <t>1/3 April, 1/2 May, 3/4 June</t>
  </si>
  <si>
    <t>0.00 June, Terminated July</t>
  </si>
  <si>
    <t>1/3 May, 1/2 June, 3/4 July</t>
  </si>
  <si>
    <t>TOTAL
EXPECTED</t>
  </si>
  <si>
    <t>TOTAL
RECEIVED</t>
  </si>
  <si>
    <t>TOTAL
DEFFERED</t>
  </si>
  <si>
    <t>NOTES</t>
  </si>
  <si>
    <t>July 2020</t>
  </si>
  <si>
    <t>30% April, May,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</si>
</sst>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Garamond"/>
      <family val="1"/>
    </font>
    <font>
      <sz val="8"/>
      <color theme="1"/>
      <name val="Calibri"/>
      <family val="2"/>
      <scheme val="minor"/>
    </font>
    <font>
      <b/>
      <sz val="8"/>
      <name val="Garamond"/>
      <family val="1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7" fontId="2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7" fontId="3" fillId="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164" fontId="3" fillId="2" borderId="1" xfId="0" applyNumberFormat="1" applyFont="1" applyFill="1" applyBorder="1"/>
    <xf numFmtId="164" fontId="3" fillId="4" borderId="1" xfId="0" applyNumberFormat="1" applyFont="1" applyFill="1" applyBorder="1"/>
    <xf numFmtId="0" fontId="3" fillId="2" borderId="1" xfId="0" applyFont="1" applyFill="1" applyBorder="1"/>
    <xf numFmtId="7" fontId="3" fillId="5" borderId="1" xfId="0" applyNumberFormat="1" applyFont="1" applyFill="1" applyBorder="1" applyAlignment="1">
      <alignment horizontal="right"/>
    </xf>
    <xf numFmtId="12" fontId="4" fillId="2" borderId="1" xfId="0" applyNumberFormat="1" applyFont="1" applyFill="1" applyBorder="1" applyAlignment="1">
      <alignment horizontal="left"/>
    </xf>
    <xf numFmtId="164" fontId="5" fillId="4" borderId="1" xfId="0" applyNumberFormat="1" applyFont="1" applyFill="1" applyBorder="1"/>
    <xf numFmtId="0" fontId="1" fillId="6" borderId="1" xfId="0" applyFont="1" applyFill="1" applyBorder="1"/>
    <xf numFmtId="164" fontId="1" fillId="6" borderId="1" xfId="0" applyNumberFormat="1" applyFont="1" applyFill="1" applyBorder="1"/>
    <xf numFmtId="7" fontId="1" fillId="6" borderId="1" xfId="0" applyNumberFormat="1" applyFont="1" applyFill="1" applyBorder="1" applyAlignment="1">
      <alignment horizontal="right"/>
    </xf>
    <xf numFmtId="0" fontId="3" fillId="0" borderId="1" xfId="0" applyFont="1" applyBorder="1"/>
    <xf numFmtId="7" fontId="3" fillId="2" borderId="1" xfId="0" applyNumberFormat="1" applyFont="1" applyFill="1" applyBorder="1" applyAlignment="1">
      <alignment horizontal="right"/>
    </xf>
    <xf numFmtId="7" fontId="3" fillId="0" borderId="1" xfId="0" applyNumberFormat="1" applyFont="1" applyBorder="1" applyAlignment="1">
      <alignment horizontal="right"/>
    </xf>
    <xf numFmtId="164" fontId="5" fillId="2" borderId="1" xfId="0" applyNumberFormat="1" applyFont="1" applyFill="1" applyBorder="1"/>
    <xf numFmtId="7" fontId="3" fillId="7" borderId="1" xfId="0" applyNumberFormat="1" applyFont="1" applyFill="1" applyBorder="1" applyAlignment="1">
      <alignment horizontal="center"/>
    </xf>
    <xf numFmtId="7" fontId="5" fillId="7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vertical="center" wrapText="1"/>
    </xf>
    <xf numFmtId="7" fontId="2" fillId="3" borderId="1" xfId="0" applyNumberFormat="1" applyFont="1" applyFill="1" applyBorder="1" applyAlignment="1">
      <alignment horizontal="center" vertical="center" wrapText="1"/>
    </xf>
    <xf numFmtId="164" fontId="3" fillId="8" borderId="1" xfId="0" applyNumberFormat="1" applyFont="1" applyFill="1" applyBorder="1"/>
    <xf numFmtId="164" fontId="5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AF87-0E50-4A8F-98AE-A3FB70559EE8}">
  <sheetPr>
    <pageSetUpPr fitToPage="1"/>
  </sheetPr>
  <dimension ref="A1:N10"/>
  <sheetViews>
    <sheetView tabSelected="1" topLeftCell="B1" workbookViewId="0">
      <selection activeCell="N12" sqref="N12"/>
    </sheetView>
  </sheetViews>
  <sheetFormatPr defaultRowHeight="15.6" customHeight="1" x14ac:dyDescent="0.2"/>
  <cols>
    <col min="1" max="1" width="10.109375" style="19" customWidth="1"/>
    <col min="2" max="2" width="12.44140625" style="19" customWidth="1"/>
    <col min="3" max="3" width="10" style="12" customWidth="1"/>
    <col min="4" max="6" width="10.44140625" style="12" customWidth="1"/>
    <col min="7" max="7" width="10.33203125" style="12" customWidth="1"/>
    <col min="8" max="8" width="9.5546875" style="12" customWidth="1"/>
    <col min="9" max="9" width="8.77734375" style="12" customWidth="1"/>
    <col min="10" max="11" width="9.5546875" style="12" customWidth="1"/>
    <col min="12" max="12" width="10.44140625" style="12" customWidth="1"/>
    <col min="13" max="13" width="9" style="20" customWidth="1"/>
    <col min="14" max="14" width="18.5546875" style="21" customWidth="1"/>
    <col min="15" max="16384" width="8.88671875" style="19"/>
  </cols>
  <sheetData>
    <row r="1" spans="1:14" s="4" customFormat="1" ht="25.8" customHeight="1" x14ac:dyDescent="0.3">
      <c r="A1" s="1"/>
      <c r="B1" s="1" t="s">
        <v>0</v>
      </c>
      <c r="C1" s="2" t="s">
        <v>9</v>
      </c>
      <c r="D1" s="2" t="s">
        <v>9</v>
      </c>
      <c r="E1" s="2" t="s">
        <v>9</v>
      </c>
      <c r="F1" s="2" t="s">
        <v>9</v>
      </c>
      <c r="G1" s="25" t="s">
        <v>24</v>
      </c>
      <c r="H1" s="2" t="s">
        <v>9</v>
      </c>
      <c r="I1" s="2" t="s">
        <v>9</v>
      </c>
      <c r="J1" s="2" t="s">
        <v>9</v>
      </c>
      <c r="K1" s="2" t="s">
        <v>9</v>
      </c>
      <c r="L1" s="25" t="s">
        <v>25</v>
      </c>
      <c r="M1" s="26" t="s">
        <v>26</v>
      </c>
      <c r="N1" s="3" t="s">
        <v>27</v>
      </c>
    </row>
    <row r="2" spans="1:14" s="4" customFormat="1" ht="15.6" customHeight="1" x14ac:dyDescent="0.3">
      <c r="A2" s="5"/>
      <c r="B2" s="5"/>
      <c r="C2" s="6" t="s">
        <v>10</v>
      </c>
      <c r="D2" s="6" t="s">
        <v>11</v>
      </c>
      <c r="E2" s="6" t="s">
        <v>12</v>
      </c>
      <c r="F2" s="5" t="s">
        <v>28</v>
      </c>
      <c r="G2" s="6"/>
      <c r="H2" s="6" t="s">
        <v>16</v>
      </c>
      <c r="I2" s="6" t="s">
        <v>17</v>
      </c>
      <c r="J2" s="6" t="s">
        <v>18</v>
      </c>
      <c r="K2" s="6" t="s">
        <v>19</v>
      </c>
      <c r="L2" s="6"/>
      <c r="M2" s="7"/>
      <c r="N2" s="7"/>
    </row>
    <row r="3" spans="1:14" ht="15.6" customHeight="1" x14ac:dyDescent="0.2">
      <c r="A3" s="8" t="s">
        <v>15</v>
      </c>
      <c r="B3" s="9" t="s">
        <v>1</v>
      </c>
      <c r="C3" s="10">
        <v>2389.36</v>
      </c>
      <c r="D3" s="10">
        <v>2389.36</v>
      </c>
      <c r="E3" s="10">
        <v>2389.36</v>
      </c>
      <c r="F3" s="10">
        <v>2389.36</v>
      </c>
      <c r="G3" s="10">
        <v>9557.44</v>
      </c>
      <c r="H3" s="10">
        <v>2389.36</v>
      </c>
      <c r="I3" s="27">
        <f>D3/2</f>
        <v>1194.68</v>
      </c>
      <c r="J3" s="27">
        <f>E3/2</f>
        <v>1194.68</v>
      </c>
      <c r="K3" s="10">
        <v>2389.36</v>
      </c>
      <c r="L3" s="11">
        <f t="shared" ref="L3:L9" si="0">SUM(H3:K3)</f>
        <v>7168.08</v>
      </c>
      <c r="M3" s="13">
        <v>0</v>
      </c>
      <c r="N3" s="23" t="s">
        <v>20</v>
      </c>
    </row>
    <row r="4" spans="1:14" ht="15.6" customHeight="1" x14ac:dyDescent="0.2">
      <c r="A4" s="14">
        <v>117.5</v>
      </c>
      <c r="B4" s="9" t="s">
        <v>2</v>
      </c>
      <c r="C4" s="10">
        <v>2572.4299999999998</v>
      </c>
      <c r="D4" s="10">
        <v>2572.4299999999998</v>
      </c>
      <c r="E4" s="10">
        <v>2572.4299999999998</v>
      </c>
      <c r="F4" s="10">
        <v>2572.4299999999998</v>
      </c>
      <c r="G4" s="10">
        <v>10289.719999999999</v>
      </c>
      <c r="H4" s="27">
        <f>C4/3</f>
        <v>857.47666666666657</v>
      </c>
      <c r="I4" s="27">
        <f>D4/2</f>
        <v>1286.2149999999999</v>
      </c>
      <c r="J4" s="27">
        <f>E4/4*3</f>
        <v>1929.3224999999998</v>
      </c>
      <c r="K4" s="10">
        <v>2572.4299999999998</v>
      </c>
      <c r="L4" s="11">
        <f t="shared" si="0"/>
        <v>6645.4441666666662</v>
      </c>
      <c r="M4" s="13">
        <f t="shared" ref="M3:M9" si="1">(C4+D4+E4+F4)-(H4+I4+J4+K4)</f>
        <v>3644.2758333333331</v>
      </c>
      <c r="N4" s="23" t="s">
        <v>21</v>
      </c>
    </row>
    <row r="5" spans="1:14" ht="15.6" customHeight="1" x14ac:dyDescent="0.2">
      <c r="A5" s="8">
        <v>119</v>
      </c>
      <c r="B5" s="9" t="s">
        <v>3</v>
      </c>
      <c r="C5" s="22">
        <v>652.41</v>
      </c>
      <c r="D5" s="22">
        <v>652.41</v>
      </c>
      <c r="E5" s="22">
        <v>2882.16</v>
      </c>
      <c r="F5" s="22">
        <v>2882.16</v>
      </c>
      <c r="G5" s="22">
        <v>7069.1399999999994</v>
      </c>
      <c r="H5" s="22">
        <v>652.41</v>
      </c>
      <c r="I5" s="22">
        <v>652.41</v>
      </c>
      <c r="J5" s="28">
        <v>0</v>
      </c>
      <c r="K5" s="28">
        <v>0</v>
      </c>
      <c r="L5" s="15">
        <f t="shared" si="0"/>
        <v>1304.82</v>
      </c>
      <c r="M5" s="13">
        <v>0</v>
      </c>
      <c r="N5" s="24" t="s">
        <v>22</v>
      </c>
    </row>
    <row r="6" spans="1:14" ht="15.6" customHeight="1" x14ac:dyDescent="0.2">
      <c r="A6" s="8" t="s">
        <v>14</v>
      </c>
      <c r="B6" s="9" t="s">
        <v>4</v>
      </c>
      <c r="C6" s="10">
        <v>6796.5</v>
      </c>
      <c r="D6" s="10">
        <v>6796.5</v>
      </c>
      <c r="E6" s="10">
        <v>6796.5</v>
      </c>
      <c r="F6" s="10">
        <v>6796.5</v>
      </c>
      <c r="G6" s="10">
        <v>27186</v>
      </c>
      <c r="H6" s="10">
        <f>C6</f>
        <v>6796.5</v>
      </c>
      <c r="I6" s="27">
        <f>D6/3</f>
        <v>2265.5</v>
      </c>
      <c r="J6" s="27">
        <f>E6/2</f>
        <v>3398.25</v>
      </c>
      <c r="K6" s="27">
        <f>F6/4*3</f>
        <v>5097.375</v>
      </c>
      <c r="L6" s="11">
        <f t="shared" si="0"/>
        <v>17557.625</v>
      </c>
      <c r="M6" s="13">
        <f t="shared" si="1"/>
        <v>9628.375</v>
      </c>
      <c r="N6" s="23" t="s">
        <v>23</v>
      </c>
    </row>
    <row r="7" spans="1:14" ht="15.6" customHeight="1" x14ac:dyDescent="0.2">
      <c r="A7" s="8" t="s">
        <v>13</v>
      </c>
      <c r="B7" s="9" t="s">
        <v>5</v>
      </c>
      <c r="C7" s="10">
        <v>8423.82</v>
      </c>
      <c r="D7" s="10">
        <v>8423.82</v>
      </c>
      <c r="E7" s="10">
        <v>8423.82</v>
      </c>
      <c r="F7" s="10">
        <v>8423.82</v>
      </c>
      <c r="G7" s="10">
        <v>33695.279999999999</v>
      </c>
      <c r="H7" s="27">
        <f>C7/3</f>
        <v>2807.94</v>
      </c>
      <c r="I7" s="27">
        <f>D7/2</f>
        <v>4211.91</v>
      </c>
      <c r="J7" s="27">
        <f>E7/4*3</f>
        <v>6317.8649999999998</v>
      </c>
      <c r="K7" s="10">
        <v>8423.82</v>
      </c>
      <c r="L7" s="11">
        <f t="shared" si="0"/>
        <v>21761.535</v>
      </c>
      <c r="M7" s="13">
        <f t="shared" si="1"/>
        <v>11933.744999999999</v>
      </c>
      <c r="N7" s="23" t="s">
        <v>21</v>
      </c>
    </row>
    <row r="8" spans="1:14" ht="15.6" customHeight="1" x14ac:dyDescent="0.2">
      <c r="A8" s="8">
        <v>145</v>
      </c>
      <c r="B8" s="9" t="s">
        <v>6</v>
      </c>
      <c r="C8" s="10">
        <v>3027.27</v>
      </c>
      <c r="D8" s="10">
        <v>3027.27</v>
      </c>
      <c r="E8" s="10">
        <v>3027.27</v>
      </c>
      <c r="F8" s="10">
        <v>3027.27</v>
      </c>
      <c r="G8" s="10">
        <v>12109.08</v>
      </c>
      <c r="H8" s="27">
        <f>C8/3</f>
        <v>1009.09</v>
      </c>
      <c r="I8" s="27">
        <f>D8/2</f>
        <v>1513.635</v>
      </c>
      <c r="J8" s="27">
        <f>E8/4*3</f>
        <v>2270.4524999999999</v>
      </c>
      <c r="K8" s="10">
        <v>3027.27</v>
      </c>
      <c r="L8" s="11">
        <f t="shared" si="0"/>
        <v>7820.4475000000002</v>
      </c>
      <c r="M8" s="13">
        <f t="shared" si="1"/>
        <v>4288.6324999999997</v>
      </c>
      <c r="N8" s="23" t="s">
        <v>21</v>
      </c>
    </row>
    <row r="9" spans="1:14" ht="15.6" customHeight="1" x14ac:dyDescent="0.2">
      <c r="A9" s="8">
        <v>149</v>
      </c>
      <c r="B9" s="9" t="s">
        <v>7</v>
      </c>
      <c r="C9" s="10">
        <v>6342.88</v>
      </c>
      <c r="D9" s="10">
        <v>6342.88</v>
      </c>
      <c r="E9" s="10">
        <v>6342.88</v>
      </c>
      <c r="F9" s="10">
        <v>6342.88</v>
      </c>
      <c r="G9" s="10">
        <v>25371.52</v>
      </c>
      <c r="H9" s="27">
        <v>1902.85</v>
      </c>
      <c r="I9" s="27">
        <v>19.23</v>
      </c>
      <c r="J9" s="27">
        <v>961.04</v>
      </c>
      <c r="K9" s="10">
        <v>6342.88</v>
      </c>
      <c r="L9" s="11">
        <f t="shared" si="0"/>
        <v>9226</v>
      </c>
      <c r="M9" s="13">
        <f t="shared" si="1"/>
        <v>16145.52</v>
      </c>
      <c r="N9" s="23" t="s">
        <v>29</v>
      </c>
    </row>
    <row r="10" spans="1:14" ht="15.6" customHeight="1" x14ac:dyDescent="0.2">
      <c r="A10" s="16" t="s">
        <v>8</v>
      </c>
      <c r="B10" s="16"/>
      <c r="C10" s="17">
        <f t="shared" ref="C10:M10" si="2">SUM(C3:C9)</f>
        <v>30204.670000000002</v>
      </c>
      <c r="D10" s="17">
        <f t="shared" si="2"/>
        <v>30204.670000000002</v>
      </c>
      <c r="E10" s="17">
        <f t="shared" si="2"/>
        <v>32434.420000000002</v>
      </c>
      <c r="F10" s="17">
        <f t="shared" si="2"/>
        <v>32434.420000000002</v>
      </c>
      <c r="G10" s="17">
        <f t="shared" si="2"/>
        <v>125278.18000000001</v>
      </c>
      <c r="H10" s="17">
        <f t="shared" si="2"/>
        <v>16415.626666666667</v>
      </c>
      <c r="I10" s="17">
        <f t="shared" si="2"/>
        <v>11143.58</v>
      </c>
      <c r="J10" s="17">
        <f t="shared" si="2"/>
        <v>16071.61</v>
      </c>
      <c r="K10" s="17">
        <f t="shared" si="2"/>
        <v>27853.135000000002</v>
      </c>
      <c r="L10" s="17">
        <f t="shared" si="2"/>
        <v>71483.95166666666</v>
      </c>
      <c r="M10" s="18">
        <f t="shared" si="2"/>
        <v>45640.548333333332</v>
      </c>
      <c r="N10" s="18"/>
    </row>
  </sheetData>
  <pageMargins left="0.25" right="0.25" top="0.75" bottom="0.75" header="0.3" footer="0.3"/>
  <pageSetup scale="79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cp:lastPrinted>2020-04-01T14:35:55Z</cp:lastPrinted>
  <dcterms:created xsi:type="dcterms:W3CDTF">2020-03-25T19:25:01Z</dcterms:created>
  <dcterms:modified xsi:type="dcterms:W3CDTF">2020-08-04T18:54:21Z</dcterms:modified>
</cp:coreProperties>
</file>