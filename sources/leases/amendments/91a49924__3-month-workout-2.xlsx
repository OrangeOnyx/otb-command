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COVID Investar\New folder\"/>
    </mc:Choice>
  </mc:AlternateContent>
  <xr:revisionPtr revIDLastSave="0" documentId="13_ncr:1_{8532F219-1F44-4F40-B6D7-2C6A35A18692}" xr6:coauthVersionLast="45" xr6:coauthVersionMax="45" xr10:uidLastSave="{00000000-0000-0000-0000-000000000000}"/>
  <bookViews>
    <workbookView xWindow="1068" yWindow="180" windowWidth="16704" windowHeight="10992" xr2:uid="{2D8B4ADC-8DEB-4A41-9EA8-9AC97045D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L18" i="1"/>
  <c r="E18" i="1"/>
  <c r="D18" i="1"/>
  <c r="C18" i="1"/>
  <c r="J11" i="1" l="1"/>
  <c r="J14" i="1"/>
  <c r="J16" i="1"/>
  <c r="J13" i="1"/>
  <c r="K5" i="1"/>
  <c r="M5" i="1" s="1"/>
  <c r="K10" i="1"/>
  <c r="M10" i="1" s="1"/>
  <c r="J15" i="1"/>
  <c r="J12" i="1"/>
  <c r="K7" i="1"/>
  <c r="M7" i="1" s="1"/>
  <c r="J7" i="1"/>
  <c r="K6" i="1"/>
  <c r="M6" i="1" s="1"/>
  <c r="J6" i="1"/>
  <c r="K15" i="1"/>
  <c r="M15" i="1" s="1"/>
  <c r="K14" i="1"/>
  <c r="M14" i="1" s="1"/>
  <c r="J10" i="1"/>
  <c r="J5" i="1"/>
  <c r="K9" i="1"/>
  <c r="M9" i="1" s="1"/>
  <c r="J9" i="1"/>
  <c r="K4" i="1"/>
  <c r="M4" i="1" s="1"/>
  <c r="J4" i="1"/>
  <c r="J17" i="1"/>
  <c r="J8" i="1"/>
  <c r="J3" i="1"/>
  <c r="G18" i="1"/>
  <c r="K12" i="1"/>
  <c r="M12" i="1" s="1"/>
  <c r="K11" i="1"/>
  <c r="M11" i="1" s="1"/>
  <c r="K16" i="1"/>
  <c r="M16" i="1" s="1"/>
  <c r="K13" i="1"/>
  <c r="M13" i="1" s="1"/>
  <c r="K17" i="1"/>
  <c r="M17" i="1" s="1"/>
  <c r="K8" i="1"/>
  <c r="M8" i="1" s="1"/>
  <c r="K3" i="1"/>
  <c r="M3" i="1" s="1"/>
  <c r="I18" i="1"/>
  <c r="H18" i="1"/>
  <c r="J18" i="1" l="1"/>
  <c r="M18" i="1"/>
  <c r="K18" i="1"/>
</calcChain>
</file>

<file path=xl/sharedStrings.xml><?xml version="1.0" encoding="utf-8"?>
<sst xmlns="http://schemas.openxmlformats.org/spreadsheetml/2006/main" count="75" uniqueCount="52">
  <si>
    <t>TENANT</t>
  </si>
  <si>
    <t>Pink Paisley</t>
  </si>
  <si>
    <t>Hershey's</t>
  </si>
  <si>
    <t>The Clothing Loft</t>
  </si>
  <si>
    <t>Victoria Nails</t>
  </si>
  <si>
    <t>Human 360</t>
  </si>
  <si>
    <t xml:space="preserve">Lola Pink Fabrics </t>
  </si>
  <si>
    <t>Elle Rae Boutique</t>
  </si>
  <si>
    <t>Oupac</t>
  </si>
  <si>
    <t>Politics</t>
  </si>
  <si>
    <t>135 A</t>
  </si>
  <si>
    <t>Sneaker Politics</t>
  </si>
  <si>
    <t>Elle Rae Warehouse</t>
  </si>
  <si>
    <t>Dealer Track</t>
  </si>
  <si>
    <t xml:space="preserve">Next Level Fitnes </t>
  </si>
  <si>
    <t>Jason's Deli</t>
  </si>
  <si>
    <t>TOTAL</t>
  </si>
  <si>
    <t>C&amp;C</t>
  </si>
  <si>
    <t>MONTH</t>
  </si>
  <si>
    <t xml:space="preserve">April 2020 </t>
  </si>
  <si>
    <t>May 2020</t>
  </si>
  <si>
    <t>June 2020</t>
  </si>
  <si>
    <t>DEPOSIT</t>
  </si>
  <si>
    <t xml:space="preserve">New April 1/3 </t>
  </si>
  <si>
    <t>New May 1/2</t>
  </si>
  <si>
    <t>New June 3/4</t>
  </si>
  <si>
    <t>April/May/June</t>
  </si>
  <si>
    <t>TOTAL DEF</t>
  </si>
  <si>
    <t>TOTAL PAID</t>
  </si>
  <si>
    <t>BALANCE 
 DEPOSIT</t>
  </si>
  <si>
    <t>125/127/137</t>
  </si>
  <si>
    <t>121/123</t>
  </si>
  <si>
    <t>107-115</t>
  </si>
  <si>
    <t xml:space="preserve">Cat Clinic </t>
  </si>
  <si>
    <t>UNIT NO.</t>
  </si>
  <si>
    <t>TOTAL DUE</t>
  </si>
  <si>
    <t>TOTAL 
DEFERRAL</t>
  </si>
  <si>
    <t>MINIMUM 
PAYMENT</t>
  </si>
  <si>
    <t>BALANCE AFTER
DEPOSIT</t>
  </si>
  <si>
    <t>April 33%</t>
  </si>
  <si>
    <t>May 50%</t>
  </si>
  <si>
    <t>June 75%</t>
  </si>
  <si>
    <t>109-115</t>
  </si>
  <si>
    <t>Clothing Loft</t>
  </si>
  <si>
    <t>Cat Clinic</t>
  </si>
  <si>
    <t>121-123</t>
  </si>
  <si>
    <t>125-127</t>
  </si>
  <si>
    <t>131-133</t>
  </si>
  <si>
    <t>139-141</t>
  </si>
  <si>
    <t xml:space="preserve">1st Franklin </t>
  </si>
  <si>
    <t>131/133/135AB</t>
  </si>
  <si>
    <t>1st 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</si>
</sst>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Garamond"/>
      <family val="1"/>
    </font>
    <font>
      <sz val="8"/>
      <color theme="1"/>
      <name val="Calibri"/>
      <family val="2"/>
      <scheme val="minor"/>
    </font>
    <font>
      <b/>
      <sz val="8"/>
      <name val="Garamond"/>
      <family val="1"/>
    </font>
    <font>
      <b/>
      <sz val="8"/>
      <color theme="4"/>
      <name val="Garamond"/>
      <family val="1"/>
    </font>
    <font>
      <sz val="8"/>
      <color theme="4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4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7" fontId="3" fillId="5" borderId="1" xfId="0" applyNumberFormat="1" applyFont="1" applyFill="1" applyBorder="1" applyAlignment="1">
      <alignment horizontal="center" vertical="center"/>
    </xf>
    <xf numFmtId="7" fontId="3" fillId="5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7" fontId="4" fillId="5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164" fontId="4" fillId="2" borderId="1" xfId="0" applyNumberFormat="1" applyFont="1" applyFill="1" applyBorder="1"/>
    <xf numFmtId="164" fontId="4" fillId="7" borderId="1" xfId="0" applyNumberFormat="1" applyFont="1" applyFill="1" applyBorder="1"/>
    <xf numFmtId="7" fontId="4" fillId="8" borderId="1" xfId="1" applyNumberFormat="1" applyFont="1" applyFill="1" applyBorder="1" applyAlignment="1">
      <alignment horizontal="right"/>
    </xf>
    <xf numFmtId="7" fontId="4" fillId="10" borderId="1" xfId="1" applyNumberFormat="1" applyFont="1" applyFill="1" applyBorder="1" applyAlignment="1">
      <alignment horizontal="right"/>
    </xf>
    <xf numFmtId="0" fontId="4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164" fontId="4" fillId="3" borderId="1" xfId="0" applyNumberFormat="1" applyFont="1" applyFill="1" applyBorder="1"/>
    <xf numFmtId="7" fontId="4" fillId="8" borderId="1" xfId="0" applyNumberFormat="1" applyFont="1" applyFill="1" applyBorder="1" applyAlignment="1">
      <alignment horizontal="right"/>
    </xf>
    <xf numFmtId="7" fontId="4" fillId="10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164" fontId="7" fillId="3" borderId="1" xfId="0" applyNumberFormat="1" applyFont="1" applyFill="1" applyBorder="1"/>
    <xf numFmtId="164" fontId="7" fillId="7" borderId="1" xfId="0" applyNumberFormat="1" applyFont="1" applyFill="1" applyBorder="1"/>
    <xf numFmtId="7" fontId="7" fillId="8" borderId="1" xfId="0" applyNumberFormat="1" applyFont="1" applyFill="1" applyBorder="1" applyAlignment="1">
      <alignment horizontal="right"/>
    </xf>
    <xf numFmtId="7" fontId="7" fillId="10" borderId="1" xfId="0" applyNumberFormat="1" applyFont="1" applyFill="1" applyBorder="1" applyAlignment="1">
      <alignment horizontal="right"/>
    </xf>
    <xf numFmtId="0" fontId="7" fillId="3" borderId="1" xfId="0" applyFont="1" applyFill="1" applyBorder="1"/>
    <xf numFmtId="12" fontId="5" fillId="2" borderId="1" xfId="0" applyNumberFormat="1" applyFont="1" applyFill="1" applyBorder="1" applyAlignment="1">
      <alignment horizontal="left"/>
    </xf>
    <xf numFmtId="164" fontId="8" fillId="3" borderId="1" xfId="0" applyNumberFormat="1" applyFont="1" applyFill="1" applyBorder="1"/>
    <xf numFmtId="164" fontId="8" fillId="7" borderId="1" xfId="0" applyNumberFormat="1" applyFont="1" applyFill="1" applyBorder="1"/>
    <xf numFmtId="0" fontId="2" fillId="9" borderId="1" xfId="0" applyFont="1" applyFill="1" applyBorder="1"/>
    <xf numFmtId="164" fontId="2" fillId="9" borderId="1" xfId="0" applyNumberFormat="1" applyFont="1" applyFill="1" applyBorder="1"/>
    <xf numFmtId="7" fontId="2" fillId="9" borderId="1" xfId="0" applyNumberFormat="1" applyFont="1" applyFill="1" applyBorder="1" applyAlignment="1">
      <alignment horizontal="right"/>
    </xf>
    <xf numFmtId="0" fontId="4" fillId="0" borderId="1" xfId="0" applyFont="1" applyBorder="1"/>
    <xf numFmtId="7" fontId="4" fillId="2" borderId="1" xfId="0" applyNumberFormat="1" applyFont="1" applyFill="1" applyBorder="1" applyAlignment="1">
      <alignment horizontal="right"/>
    </xf>
    <xf numFmtId="7" fontId="4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7" fontId="2" fillId="4" borderId="8" xfId="0" applyNumberFormat="1" applyFont="1" applyFill="1" applyBorder="1" applyAlignment="1">
      <alignment horizontal="right" vertical="center"/>
    </xf>
    <xf numFmtId="7" fontId="2" fillId="4" borderId="9" xfId="0" applyNumberFormat="1" applyFont="1" applyFill="1" applyBorder="1" applyAlignment="1">
      <alignment horizontal="right" vertical="center"/>
    </xf>
    <xf numFmtId="7" fontId="4" fillId="7" borderId="1" xfId="0" applyNumberFormat="1" applyFont="1" applyFill="1" applyBorder="1" applyAlignment="1">
      <alignment vertical="center"/>
    </xf>
    <xf numFmtId="7" fontId="4" fillId="6" borderId="1" xfId="0" applyNumberFormat="1" applyFont="1" applyFill="1" applyBorder="1" applyAlignment="1">
      <alignment vertical="center"/>
    </xf>
    <xf numFmtId="7" fontId="4" fillId="5" borderId="1" xfId="0" applyNumberFormat="1" applyFont="1" applyFill="1" applyBorder="1" applyAlignment="1">
      <alignment vertical="center"/>
    </xf>
    <xf numFmtId="7" fontId="4" fillId="12" borderId="1" xfId="0" applyNumberFormat="1" applyFont="1" applyFill="1" applyBorder="1" applyAlignment="1">
      <alignment vertical="center"/>
    </xf>
    <xf numFmtId="7" fontId="4" fillId="11" borderId="1" xfId="0" applyNumberFormat="1" applyFont="1" applyFill="1" applyBorder="1" applyAlignment="1">
      <alignment vertical="center"/>
    </xf>
    <xf numFmtId="7" fontId="4" fillId="11" borderId="6" xfId="0" applyNumberFormat="1" applyFont="1" applyFill="1" applyBorder="1" applyAlignment="1">
      <alignment vertical="center"/>
    </xf>
    <xf numFmtId="7" fontId="4" fillId="0" borderId="1" xfId="0" applyNumberFormat="1" applyFont="1" applyBorder="1" applyAlignment="1">
      <alignment vertical="center"/>
    </xf>
    <xf numFmtId="7" fontId="4" fillId="0" borderId="6" xfId="0" applyNumberFormat="1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00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AF87-0E50-4A8F-98AE-A3FB70559EE8}">
  <sheetPr>
    <pageSetUpPr fitToPage="1"/>
  </sheetPr>
  <dimension ref="A1:M39"/>
  <sheetViews>
    <sheetView tabSelected="1" topLeftCell="A21" workbookViewId="0">
      <selection activeCell="M1" sqref="A1:M39"/>
    </sheetView>
  </sheetViews>
  <sheetFormatPr defaultRowHeight="15.6" customHeight="1" x14ac:dyDescent="0.2"/>
  <cols>
    <col min="1" max="1" width="10.109375" style="36" customWidth="1"/>
    <col min="2" max="2" width="12.44140625" style="36" customWidth="1"/>
    <col min="3" max="3" width="10" style="16" customWidth="1"/>
    <col min="4" max="5" width="10.44140625" style="16" customWidth="1"/>
    <col min="6" max="6" width="11.88671875" style="16" customWidth="1"/>
    <col min="7" max="7" width="9.5546875" style="16" customWidth="1"/>
    <col min="8" max="8" width="8.77734375" style="16" customWidth="1"/>
    <col min="9" max="9" width="9.5546875" style="16" customWidth="1"/>
    <col min="10" max="10" width="10.44140625" style="16" customWidth="1"/>
    <col min="11" max="11" width="9" style="37" customWidth="1"/>
    <col min="12" max="12" width="9.33203125" style="38" customWidth="1"/>
    <col min="13" max="13" width="9.88671875" style="38" customWidth="1"/>
    <col min="14" max="16384" width="8.88671875" style="36"/>
  </cols>
  <sheetData>
    <row r="1" spans="1:13" s="6" customFormat="1" ht="25.8" customHeight="1" x14ac:dyDescent="0.3">
      <c r="A1" s="2"/>
      <c r="B1" s="2" t="s">
        <v>0</v>
      </c>
      <c r="C1" s="3" t="s">
        <v>18</v>
      </c>
      <c r="D1" s="3" t="s">
        <v>18</v>
      </c>
      <c r="E1" s="3" t="s">
        <v>18</v>
      </c>
      <c r="F1" s="3" t="s">
        <v>16</v>
      </c>
      <c r="G1" s="3" t="s">
        <v>18</v>
      </c>
      <c r="H1" s="3" t="s">
        <v>18</v>
      </c>
      <c r="I1" s="3" t="s">
        <v>18</v>
      </c>
      <c r="J1" s="3" t="s">
        <v>28</v>
      </c>
      <c r="K1" s="4" t="s">
        <v>27</v>
      </c>
      <c r="L1" s="4" t="s">
        <v>22</v>
      </c>
      <c r="M1" s="5" t="s">
        <v>29</v>
      </c>
    </row>
    <row r="2" spans="1:13" s="6" customFormat="1" ht="15.6" customHeight="1" x14ac:dyDescent="0.3">
      <c r="A2" s="7"/>
      <c r="B2" s="7"/>
      <c r="C2" s="8" t="s">
        <v>19</v>
      </c>
      <c r="D2" s="8" t="s">
        <v>20</v>
      </c>
      <c r="E2" s="8" t="s">
        <v>21</v>
      </c>
      <c r="F2" s="8" t="s">
        <v>26</v>
      </c>
      <c r="G2" s="8" t="s">
        <v>23</v>
      </c>
      <c r="H2" s="8" t="s">
        <v>24</v>
      </c>
      <c r="I2" s="8" t="s">
        <v>25</v>
      </c>
      <c r="J2" s="8"/>
      <c r="K2" s="9"/>
      <c r="L2" s="9"/>
      <c r="M2" s="9"/>
    </row>
    <row r="3" spans="1:13" s="16" customFormat="1" ht="15.6" customHeight="1" x14ac:dyDescent="0.2">
      <c r="A3" s="10">
        <v>105</v>
      </c>
      <c r="B3" s="11" t="s">
        <v>1</v>
      </c>
      <c r="C3" s="12">
        <v>3231.16</v>
      </c>
      <c r="D3" s="12">
        <v>3231.16</v>
      </c>
      <c r="E3" s="12">
        <v>3231.16</v>
      </c>
      <c r="F3" s="13">
        <f>C3+D3+E3</f>
        <v>9693.48</v>
      </c>
      <c r="G3" s="12">
        <f>C3/3</f>
        <v>1077.0533333333333</v>
      </c>
      <c r="H3" s="12">
        <f>D3/2</f>
        <v>1615.58</v>
      </c>
      <c r="I3" s="12">
        <f>E3/4*3</f>
        <v>2423.37</v>
      </c>
      <c r="J3" s="13">
        <f>G3+H3+I3</f>
        <v>5116.0033333333331</v>
      </c>
      <c r="K3" s="14">
        <f>(C3+D3+E3)-(G3+H3+I3)</f>
        <v>4577.4766666666665</v>
      </c>
      <c r="L3" s="15">
        <v>2499.75</v>
      </c>
      <c r="M3" s="15">
        <f>K3-L3</f>
        <v>2077.7266666666665</v>
      </c>
    </row>
    <row r="4" spans="1:13" s="22" customFormat="1" ht="15.6" customHeight="1" x14ac:dyDescent="0.2">
      <c r="A4" s="17" t="s">
        <v>32</v>
      </c>
      <c r="B4" s="18" t="s">
        <v>2</v>
      </c>
      <c r="C4" s="19">
        <v>2389.36</v>
      </c>
      <c r="D4" s="19">
        <v>2389.36</v>
      </c>
      <c r="E4" s="19">
        <v>2389.36</v>
      </c>
      <c r="F4" s="13">
        <f>C4+D4+E4</f>
        <v>7168.08</v>
      </c>
      <c r="G4" s="19">
        <f>C4/3</f>
        <v>796.45333333333338</v>
      </c>
      <c r="H4" s="19">
        <f>D4/2</f>
        <v>1194.68</v>
      </c>
      <c r="I4" s="19">
        <f>E4/4*3</f>
        <v>1792.02</v>
      </c>
      <c r="J4" s="13">
        <f>G4+H4+I4</f>
        <v>3783.1533333333336</v>
      </c>
      <c r="K4" s="20">
        <f>(C4+D4+E4)-(G4+H4+I4)</f>
        <v>3384.9266666666663</v>
      </c>
      <c r="L4" s="21">
        <v>0</v>
      </c>
      <c r="M4" s="21">
        <f>K4-L4</f>
        <v>3384.9266666666663</v>
      </c>
    </row>
    <row r="5" spans="1:13" s="16" customFormat="1" ht="15.6" customHeight="1" x14ac:dyDescent="0.2">
      <c r="A5" s="10">
        <v>109</v>
      </c>
      <c r="B5" s="11" t="s">
        <v>17</v>
      </c>
      <c r="C5" s="12">
        <v>9708.26</v>
      </c>
      <c r="D5" s="12">
        <v>9708.26</v>
      </c>
      <c r="E5" s="12">
        <v>9708.26</v>
      </c>
      <c r="F5" s="13">
        <f>C5+D5+E5</f>
        <v>29124.78</v>
      </c>
      <c r="G5" s="12">
        <f>C5/3</f>
        <v>3236.0866666666666</v>
      </c>
      <c r="H5" s="12">
        <f>D5/2</f>
        <v>4854.13</v>
      </c>
      <c r="I5" s="12">
        <f>E5/4*3</f>
        <v>7281.1949999999997</v>
      </c>
      <c r="J5" s="13">
        <f>G5+H5+I5</f>
        <v>15371.411666666667</v>
      </c>
      <c r="K5" s="20">
        <f>(C5+D5+E5)-(G5+H5+I5)</f>
        <v>13753.368333333332</v>
      </c>
      <c r="L5" s="21">
        <v>2169.56</v>
      </c>
      <c r="M5" s="21">
        <f>K5-L5</f>
        <v>11583.808333333332</v>
      </c>
    </row>
    <row r="6" spans="1:13" s="29" customFormat="1" ht="15.6" customHeight="1" x14ac:dyDescent="0.2">
      <c r="A6" s="23">
        <v>117</v>
      </c>
      <c r="B6" s="24" t="s">
        <v>3</v>
      </c>
      <c r="C6" s="25">
        <v>2712.5</v>
      </c>
      <c r="D6" s="25">
        <v>714.29</v>
      </c>
      <c r="E6" s="25">
        <v>714.29</v>
      </c>
      <c r="F6" s="26">
        <f>C6+D6+E6</f>
        <v>4141.08</v>
      </c>
      <c r="G6" s="25">
        <f>C6/3</f>
        <v>904.16666666666663</v>
      </c>
      <c r="H6" s="25">
        <f>D6/2</f>
        <v>357.14499999999998</v>
      </c>
      <c r="I6" s="25">
        <f>E6/4*3</f>
        <v>535.71749999999997</v>
      </c>
      <c r="J6" s="26">
        <f>G6+H6+I6</f>
        <v>1797.0291666666665</v>
      </c>
      <c r="K6" s="27">
        <f>(C6+D6+E6)-(G6+H6+I6)</f>
        <v>2344.0508333333337</v>
      </c>
      <c r="L6" s="28">
        <v>2260.42</v>
      </c>
      <c r="M6" s="28">
        <f>K6-L6</f>
        <v>83.630833333333612</v>
      </c>
    </row>
    <row r="7" spans="1:13" s="16" customFormat="1" ht="15.6" customHeight="1" x14ac:dyDescent="0.2">
      <c r="A7" s="30">
        <v>117.5</v>
      </c>
      <c r="B7" s="11" t="s">
        <v>4</v>
      </c>
      <c r="C7" s="12">
        <v>2572.4299999999998</v>
      </c>
      <c r="D7" s="12">
        <v>2572.4299999999998</v>
      </c>
      <c r="E7" s="12">
        <v>2572.4299999999998</v>
      </c>
      <c r="F7" s="13">
        <f>C7+D7+E7</f>
        <v>7717.2899999999991</v>
      </c>
      <c r="G7" s="12">
        <f>C7/3</f>
        <v>857.47666666666657</v>
      </c>
      <c r="H7" s="12">
        <f>D7/2</f>
        <v>1286.2149999999999</v>
      </c>
      <c r="I7" s="12">
        <f>E7/4*3</f>
        <v>1929.3224999999998</v>
      </c>
      <c r="J7" s="13">
        <f>G7+H7+I7</f>
        <v>4073.0141666666664</v>
      </c>
      <c r="K7" s="20">
        <f>(C7+D7+E7)-(G7+H7+I7)</f>
        <v>3644.2758333333327</v>
      </c>
      <c r="L7" s="21">
        <v>1842.71</v>
      </c>
      <c r="M7" s="21">
        <f>K7-L7</f>
        <v>1801.5658333333326</v>
      </c>
    </row>
    <row r="8" spans="1:13" s="29" customFormat="1" ht="15.6" customHeight="1" x14ac:dyDescent="0.2">
      <c r="A8" s="23">
        <v>119</v>
      </c>
      <c r="B8" s="24" t="s">
        <v>5</v>
      </c>
      <c r="C8" s="25">
        <v>652.41</v>
      </c>
      <c r="D8" s="25">
        <v>652.41</v>
      </c>
      <c r="E8" s="25">
        <v>2882.16</v>
      </c>
      <c r="F8" s="26">
        <f>C8+D8+E8</f>
        <v>4186.9799999999996</v>
      </c>
      <c r="G8" s="25">
        <f>C8/3</f>
        <v>217.47</v>
      </c>
      <c r="H8" s="25">
        <f>D8/2</f>
        <v>326.20499999999998</v>
      </c>
      <c r="I8" s="25">
        <f>E8/4*3</f>
        <v>2161.62</v>
      </c>
      <c r="J8" s="26">
        <f>G8+H8+I8</f>
        <v>2705.2950000000001</v>
      </c>
      <c r="K8" s="27">
        <f>(C8+D8+E8)-(G8+H8+I8)</f>
        <v>1481.6849999999995</v>
      </c>
      <c r="L8" s="28">
        <v>2229.75</v>
      </c>
      <c r="M8" s="28">
        <f>K8-L8</f>
        <v>-748.06500000000051</v>
      </c>
    </row>
    <row r="9" spans="1:13" s="16" customFormat="1" ht="15.6" customHeight="1" x14ac:dyDescent="0.2">
      <c r="A9" s="30">
        <v>119.5</v>
      </c>
      <c r="B9" s="11" t="s">
        <v>33</v>
      </c>
      <c r="C9" s="12">
        <v>2788.28</v>
      </c>
      <c r="D9" s="12">
        <v>2788.28</v>
      </c>
      <c r="E9" s="12">
        <v>2788.28</v>
      </c>
      <c r="F9" s="13">
        <f>C9+D9+E9</f>
        <v>8364.84</v>
      </c>
      <c r="G9" s="12">
        <f>C9/3</f>
        <v>929.42666666666673</v>
      </c>
      <c r="H9" s="12">
        <f>D9/2</f>
        <v>1394.14</v>
      </c>
      <c r="I9" s="12">
        <f>E9/4*3</f>
        <v>2091.21</v>
      </c>
      <c r="J9" s="13">
        <f>G9+H9+I9</f>
        <v>4414.7766666666666</v>
      </c>
      <c r="K9" s="20">
        <f>(C9+D9+E9)-(G9+H9+I9)</f>
        <v>3950.0633333333335</v>
      </c>
      <c r="L9" s="21">
        <v>2706.03</v>
      </c>
      <c r="M9" s="21">
        <f>K9-L9</f>
        <v>1244.0333333333333</v>
      </c>
    </row>
    <row r="10" spans="1:13" s="22" customFormat="1" ht="15.6" customHeight="1" x14ac:dyDescent="0.2">
      <c r="A10" s="17" t="s">
        <v>31</v>
      </c>
      <c r="B10" s="18" t="s">
        <v>6</v>
      </c>
      <c r="C10" s="19">
        <v>6796.5</v>
      </c>
      <c r="D10" s="19">
        <v>6796.5</v>
      </c>
      <c r="E10" s="19">
        <v>6796.5</v>
      </c>
      <c r="F10" s="13">
        <f>C10+D10+E10</f>
        <v>20389.5</v>
      </c>
      <c r="G10" s="19">
        <f>C10/3</f>
        <v>2265.5</v>
      </c>
      <c r="H10" s="19">
        <f>D10/2</f>
        <v>3398.25</v>
      </c>
      <c r="I10" s="19">
        <f>E10/4*3</f>
        <v>5097.375</v>
      </c>
      <c r="J10" s="13">
        <f>G10+H10+I10</f>
        <v>10761.125</v>
      </c>
      <c r="K10" s="20">
        <f>(C10+D10+E10)-(G10+H10+I10)</f>
        <v>9628.375</v>
      </c>
      <c r="L10" s="21">
        <v>1780.2</v>
      </c>
      <c r="M10" s="21">
        <f>K10-L10</f>
        <v>7848.1750000000002</v>
      </c>
    </row>
    <row r="11" spans="1:13" s="16" customFormat="1" ht="15.6" customHeight="1" x14ac:dyDescent="0.2">
      <c r="A11" s="10" t="s">
        <v>30</v>
      </c>
      <c r="B11" s="11" t="s">
        <v>7</v>
      </c>
      <c r="C11" s="12">
        <v>8423.82</v>
      </c>
      <c r="D11" s="12">
        <v>8423.82</v>
      </c>
      <c r="E11" s="12">
        <v>8423.82</v>
      </c>
      <c r="F11" s="13">
        <f>C11+D11+E11</f>
        <v>25271.46</v>
      </c>
      <c r="G11" s="12">
        <f>C11/3</f>
        <v>2807.94</v>
      </c>
      <c r="H11" s="12">
        <f>D11/2</f>
        <v>4211.91</v>
      </c>
      <c r="I11" s="12">
        <f>E11/4*3</f>
        <v>6317.8649999999998</v>
      </c>
      <c r="J11" s="13">
        <f>G11+H11+I11</f>
        <v>13337.715</v>
      </c>
      <c r="K11" s="20">
        <f>(C11+D11+E11)-(G11+H11+I11)</f>
        <v>11933.744999999999</v>
      </c>
      <c r="L11" s="21">
        <v>2168.75</v>
      </c>
      <c r="M11" s="21">
        <f>K11-L11</f>
        <v>9764.994999999999</v>
      </c>
    </row>
    <row r="12" spans="1:13" s="22" customFormat="1" ht="15.6" customHeight="1" x14ac:dyDescent="0.2">
      <c r="A12" s="17">
        <v>129</v>
      </c>
      <c r="B12" s="18" t="s">
        <v>8</v>
      </c>
      <c r="C12" s="31">
        <v>2452.42</v>
      </c>
      <c r="D12" s="31">
        <v>2452.42</v>
      </c>
      <c r="E12" s="31">
        <v>2452.42</v>
      </c>
      <c r="F12" s="32">
        <f>C12+D12+E12</f>
        <v>7357.26</v>
      </c>
      <c r="G12" s="31">
        <f>C12/3</f>
        <v>817.47333333333336</v>
      </c>
      <c r="H12" s="31">
        <f>D12/2</f>
        <v>1226.21</v>
      </c>
      <c r="I12" s="31">
        <f>E12/4*3</f>
        <v>1839.3150000000001</v>
      </c>
      <c r="J12" s="32">
        <f>G12+H12+I12</f>
        <v>3882.9983333333334</v>
      </c>
      <c r="K12" s="20">
        <f>(C12+D12+E12)-(G12+H12+I12)</f>
        <v>3474.2616666666668</v>
      </c>
      <c r="L12" s="21">
        <v>2236.25</v>
      </c>
      <c r="M12" s="21">
        <f>K12-L12</f>
        <v>1238.0116666666668</v>
      </c>
    </row>
    <row r="13" spans="1:13" s="16" customFormat="1" ht="15.6" customHeight="1" x14ac:dyDescent="0.2">
      <c r="A13" s="10" t="s">
        <v>50</v>
      </c>
      <c r="B13" s="11" t="s">
        <v>9</v>
      </c>
      <c r="C13" s="12">
        <v>7923.76</v>
      </c>
      <c r="D13" s="12">
        <v>7923.76</v>
      </c>
      <c r="E13" s="12">
        <v>7923.76</v>
      </c>
      <c r="F13" s="13">
        <f>C13+D13+E13</f>
        <v>23771.279999999999</v>
      </c>
      <c r="G13" s="12">
        <f>C13/3</f>
        <v>2641.2533333333336</v>
      </c>
      <c r="H13" s="12">
        <f>D13/2</f>
        <v>3961.88</v>
      </c>
      <c r="I13" s="12">
        <f>E13/4*3</f>
        <v>5942.82</v>
      </c>
      <c r="J13" s="13">
        <f>G13+H13+I13</f>
        <v>12545.953333333333</v>
      </c>
      <c r="K13" s="20">
        <f>(C13+D13+E13)-(G13+H13+I13)</f>
        <v>11225.326666666666</v>
      </c>
      <c r="L13" s="21">
        <v>7923.76</v>
      </c>
      <c r="M13" s="21">
        <f>K13-L13</f>
        <v>3301.5666666666657</v>
      </c>
    </row>
    <row r="14" spans="1:13" s="16" customFormat="1" ht="15.6" customHeight="1" x14ac:dyDescent="0.2">
      <c r="A14" s="10">
        <v>139</v>
      </c>
      <c r="B14" s="11" t="s">
        <v>13</v>
      </c>
      <c r="C14" s="12">
        <v>5032.13</v>
      </c>
      <c r="D14" s="12">
        <v>5495.4</v>
      </c>
      <c r="E14" s="12">
        <v>5495.4</v>
      </c>
      <c r="F14" s="13">
        <f>C14+D14+E14</f>
        <v>16022.929999999998</v>
      </c>
      <c r="G14" s="12">
        <f>C14/3</f>
        <v>1677.3766666666668</v>
      </c>
      <c r="H14" s="12">
        <f>D14/2</f>
        <v>2747.7</v>
      </c>
      <c r="I14" s="12">
        <f>E14/4*3</f>
        <v>4121.5499999999993</v>
      </c>
      <c r="J14" s="13">
        <f>G14+H14+I14</f>
        <v>8546.626666666667</v>
      </c>
      <c r="K14" s="20">
        <f>(C14+D14+E14)-(G14+H14+I14)</f>
        <v>7476.3033333333315</v>
      </c>
      <c r="L14" s="21">
        <v>2643.75</v>
      </c>
      <c r="M14" s="21">
        <f>K14-L14</f>
        <v>4832.5533333333315</v>
      </c>
    </row>
    <row r="15" spans="1:13" s="22" customFormat="1" ht="15.6" customHeight="1" x14ac:dyDescent="0.2">
      <c r="A15" s="17">
        <v>143</v>
      </c>
      <c r="B15" s="18" t="s">
        <v>51</v>
      </c>
      <c r="C15" s="19">
        <v>2955.37</v>
      </c>
      <c r="D15" s="19">
        <v>2955.38</v>
      </c>
      <c r="E15" s="19">
        <v>2955.38</v>
      </c>
      <c r="F15" s="13">
        <f>C15+D15+E15</f>
        <v>8866.130000000001</v>
      </c>
      <c r="G15" s="19">
        <f>C15/3</f>
        <v>985.12333333333333</v>
      </c>
      <c r="H15" s="19">
        <f>D15/2</f>
        <v>1477.69</v>
      </c>
      <c r="I15" s="19">
        <f>E15/4*3</f>
        <v>2216.5349999999999</v>
      </c>
      <c r="J15" s="13">
        <f>G15+H15+I15</f>
        <v>4679.3483333333334</v>
      </c>
      <c r="K15" s="20">
        <f>(C15+D15+E15)-(G15+H15+I15)</f>
        <v>4186.7816666666677</v>
      </c>
      <c r="L15" s="21">
        <v>0</v>
      </c>
      <c r="M15" s="21">
        <f>K15-L15</f>
        <v>4186.7816666666677</v>
      </c>
    </row>
    <row r="16" spans="1:13" s="16" customFormat="1" ht="15.6" customHeight="1" x14ac:dyDescent="0.2">
      <c r="A16" s="10">
        <v>145</v>
      </c>
      <c r="B16" s="11" t="s">
        <v>14</v>
      </c>
      <c r="C16" s="12">
        <v>3027.27</v>
      </c>
      <c r="D16" s="12">
        <v>3027.27</v>
      </c>
      <c r="E16" s="12">
        <v>3027.27</v>
      </c>
      <c r="F16" s="13">
        <f>C16+D16+E16</f>
        <v>9081.81</v>
      </c>
      <c r="G16" s="12">
        <f>C16/3</f>
        <v>1009.09</v>
      </c>
      <c r="H16" s="12">
        <f>D16/2</f>
        <v>1513.635</v>
      </c>
      <c r="I16" s="12">
        <f>E16/4*3</f>
        <v>2270.4524999999999</v>
      </c>
      <c r="J16" s="13">
        <f>G16+H16+I16</f>
        <v>4793.1774999999998</v>
      </c>
      <c r="K16" s="20">
        <f>(C16+D16+E16)-(G16+H16+I16)</f>
        <v>4288.6324999999997</v>
      </c>
      <c r="L16" s="21">
        <v>2396.25</v>
      </c>
      <c r="M16" s="21">
        <f>K16-L16</f>
        <v>1892.3824999999997</v>
      </c>
    </row>
    <row r="17" spans="1:13" s="22" customFormat="1" ht="15.6" customHeight="1" x14ac:dyDescent="0.2">
      <c r="A17" s="17">
        <v>149</v>
      </c>
      <c r="B17" s="18" t="s">
        <v>15</v>
      </c>
      <c r="C17" s="19">
        <v>6342.88</v>
      </c>
      <c r="D17" s="19">
        <v>6342.88</v>
      </c>
      <c r="E17" s="19">
        <v>6342.88</v>
      </c>
      <c r="F17" s="13">
        <f>C17+D17+E17</f>
        <v>19028.64</v>
      </c>
      <c r="G17" s="19">
        <f>C17/3</f>
        <v>2114.2933333333335</v>
      </c>
      <c r="H17" s="19">
        <f>D17/2</f>
        <v>3171.44</v>
      </c>
      <c r="I17" s="19">
        <f>E17/4*3</f>
        <v>4757.16</v>
      </c>
      <c r="J17" s="13">
        <f>G17+H17+I17</f>
        <v>10042.893333333333</v>
      </c>
      <c r="K17" s="20">
        <f>(C17+D17+E17)-(G17+H17+I17)</f>
        <v>8985.746666666666</v>
      </c>
      <c r="L17" s="21">
        <v>0</v>
      </c>
      <c r="M17" s="21">
        <f>K17-L17</f>
        <v>8985.746666666666</v>
      </c>
    </row>
    <row r="18" spans="1:13" s="16" customFormat="1" ht="15.6" customHeight="1" x14ac:dyDescent="0.2">
      <c r="A18" s="33" t="s">
        <v>16</v>
      </c>
      <c r="B18" s="33"/>
      <c r="C18" s="34">
        <f>SUM(C3:C17)</f>
        <v>67008.55</v>
      </c>
      <c r="D18" s="34">
        <f>SUM(D3:D17)</f>
        <v>65473.619999999988</v>
      </c>
      <c r="E18" s="34">
        <f>SUM(E3:E17)</f>
        <v>67703.37</v>
      </c>
      <c r="F18" s="34">
        <f>SUM(F3:F17)</f>
        <v>200185.53999999998</v>
      </c>
      <c r="G18" s="34">
        <f>SUM(G3:G17)</f>
        <v>22336.183333333334</v>
      </c>
      <c r="H18" s="34">
        <f>SUM(H3:H17)</f>
        <v>32736.809999999994</v>
      </c>
      <c r="I18" s="34">
        <f>SUM(I3:I17)</f>
        <v>50777.527500000011</v>
      </c>
      <c r="J18" s="34">
        <f>SUM(J3:J17)</f>
        <v>105850.52083333334</v>
      </c>
      <c r="K18" s="35">
        <f>SUM(K3:K17)</f>
        <v>94335.019166666665</v>
      </c>
      <c r="L18" s="35">
        <f>SUM(L3:L17)</f>
        <v>32857.18</v>
      </c>
      <c r="M18" s="35">
        <f>SUM(M3:M17)</f>
        <v>61477.839166666658</v>
      </c>
    </row>
    <row r="19" spans="1:13" ht="15.6" customHeight="1" thickBot="1" x14ac:dyDescent="0.25"/>
    <row r="20" spans="1:13" ht="22.2" customHeight="1" x14ac:dyDescent="0.2">
      <c r="A20" s="39" t="s">
        <v>34</v>
      </c>
      <c r="B20" s="40" t="s">
        <v>0</v>
      </c>
      <c r="C20" s="40" t="s">
        <v>35</v>
      </c>
      <c r="D20" s="40" t="s">
        <v>28</v>
      </c>
      <c r="E20" s="41" t="s">
        <v>36</v>
      </c>
      <c r="F20" s="41" t="s">
        <v>37</v>
      </c>
      <c r="G20" s="41" t="s">
        <v>37</v>
      </c>
      <c r="H20" s="41" t="s">
        <v>37</v>
      </c>
      <c r="I20" s="40" t="s">
        <v>22</v>
      </c>
      <c r="J20" s="1" t="s">
        <v>38</v>
      </c>
    </row>
    <row r="21" spans="1:13" ht="15.6" customHeight="1" x14ac:dyDescent="0.2">
      <c r="A21" s="42"/>
      <c r="B21" s="43"/>
      <c r="C21" s="43"/>
      <c r="D21" s="43"/>
      <c r="E21" s="43"/>
      <c r="F21" s="43" t="s">
        <v>39</v>
      </c>
      <c r="G21" s="43" t="s">
        <v>40</v>
      </c>
      <c r="H21" s="43" t="s">
        <v>41</v>
      </c>
      <c r="I21" s="43"/>
      <c r="J21" s="44"/>
    </row>
    <row r="22" spans="1:13" ht="15.6" customHeight="1" x14ac:dyDescent="0.2">
      <c r="A22" s="45">
        <v>105</v>
      </c>
      <c r="B22" s="46" t="s">
        <v>1</v>
      </c>
      <c r="C22" s="53">
        <v>9693.48</v>
      </c>
      <c r="D22" s="54">
        <v>5116.0033333333331</v>
      </c>
      <c r="E22" s="55">
        <v>4577.4766666666665</v>
      </c>
      <c r="F22" s="56">
        <v>1077.0533333333333</v>
      </c>
      <c r="G22" s="56">
        <v>1615.58</v>
      </c>
      <c r="H22" s="56">
        <v>2423.37</v>
      </c>
      <c r="I22" s="57">
        <v>2499.75</v>
      </c>
      <c r="J22" s="58">
        <v>2077.7266666666665</v>
      </c>
    </row>
    <row r="23" spans="1:13" ht="15.6" customHeight="1" x14ac:dyDescent="0.2">
      <c r="A23" s="47">
        <v>107</v>
      </c>
      <c r="B23" s="48" t="s">
        <v>2</v>
      </c>
      <c r="C23" s="53">
        <v>7168.08</v>
      </c>
      <c r="D23" s="54">
        <v>3783.1533333333336</v>
      </c>
      <c r="E23" s="55">
        <v>3384.9266666666663</v>
      </c>
      <c r="F23" s="56">
        <v>796.45333333333338</v>
      </c>
      <c r="G23" s="56">
        <v>1194.68</v>
      </c>
      <c r="H23" s="56">
        <v>1792.02</v>
      </c>
      <c r="I23" s="59">
        <v>0</v>
      </c>
      <c r="J23" s="60">
        <v>3384.9266666666663</v>
      </c>
    </row>
    <row r="24" spans="1:13" ht="15.6" customHeight="1" x14ac:dyDescent="0.2">
      <c r="A24" s="45" t="s">
        <v>42</v>
      </c>
      <c r="B24" s="46" t="s">
        <v>17</v>
      </c>
      <c r="C24" s="53">
        <v>29124.78</v>
      </c>
      <c r="D24" s="54">
        <v>15371.411666666667</v>
      </c>
      <c r="E24" s="55">
        <v>13753.368333333332</v>
      </c>
      <c r="F24" s="56">
        <v>3236.0866666666666</v>
      </c>
      <c r="G24" s="56">
        <v>4854.13</v>
      </c>
      <c r="H24" s="56">
        <v>7281.1949999999997</v>
      </c>
      <c r="I24" s="57">
        <v>2169.56</v>
      </c>
      <c r="J24" s="58">
        <v>11583.808333333332</v>
      </c>
    </row>
    <row r="25" spans="1:13" ht="15.6" customHeight="1" x14ac:dyDescent="0.2">
      <c r="A25" s="47">
        <v>117</v>
      </c>
      <c r="B25" s="48" t="s">
        <v>43</v>
      </c>
      <c r="C25" s="53">
        <v>4141.08</v>
      </c>
      <c r="D25" s="54">
        <v>1797.0291666666665</v>
      </c>
      <c r="E25" s="55">
        <v>2344.0508333333337</v>
      </c>
      <c r="F25" s="56">
        <v>904.16666666666663</v>
      </c>
      <c r="G25" s="56">
        <v>357.14499999999998</v>
      </c>
      <c r="H25" s="56">
        <v>535.71749999999997</v>
      </c>
      <c r="I25" s="59">
        <v>2260.42</v>
      </c>
      <c r="J25" s="60">
        <v>83.630833333333612</v>
      </c>
    </row>
    <row r="26" spans="1:13" ht="15.6" customHeight="1" x14ac:dyDescent="0.2">
      <c r="A26" s="45">
        <v>117.5</v>
      </c>
      <c r="B26" s="46" t="s">
        <v>4</v>
      </c>
      <c r="C26" s="53">
        <v>7717.2899999999991</v>
      </c>
      <c r="D26" s="54">
        <v>4073.0141666666664</v>
      </c>
      <c r="E26" s="55">
        <v>3644.2758333333327</v>
      </c>
      <c r="F26" s="56">
        <v>857.47666666666657</v>
      </c>
      <c r="G26" s="56">
        <v>1286.2149999999999</v>
      </c>
      <c r="H26" s="56">
        <v>1929.3224999999998</v>
      </c>
      <c r="I26" s="57">
        <v>1842.71</v>
      </c>
      <c r="J26" s="58">
        <v>1801.5658333333326</v>
      </c>
    </row>
    <row r="27" spans="1:13" ht="15.6" customHeight="1" x14ac:dyDescent="0.2">
      <c r="A27" s="47">
        <v>119</v>
      </c>
      <c r="B27" s="48" t="s">
        <v>5</v>
      </c>
      <c r="C27" s="53">
        <v>4186.9799999999996</v>
      </c>
      <c r="D27" s="54">
        <v>2705.2950000000001</v>
      </c>
      <c r="E27" s="55">
        <v>1481.6849999999995</v>
      </c>
      <c r="F27" s="56">
        <v>217.47</v>
      </c>
      <c r="G27" s="56">
        <v>326.20499999999998</v>
      </c>
      <c r="H27" s="56">
        <v>2161.62</v>
      </c>
      <c r="I27" s="59">
        <v>2229.75</v>
      </c>
      <c r="J27" s="60">
        <v>-748.06500000000051</v>
      </c>
    </row>
    <row r="28" spans="1:13" ht="15.6" customHeight="1" x14ac:dyDescent="0.2">
      <c r="A28" s="45">
        <v>119.5</v>
      </c>
      <c r="B28" s="46" t="s">
        <v>44</v>
      </c>
      <c r="C28" s="53">
        <v>8364.84</v>
      </c>
      <c r="D28" s="54">
        <v>4414.7766666666666</v>
      </c>
      <c r="E28" s="55">
        <v>3950.0633333333335</v>
      </c>
      <c r="F28" s="56">
        <v>929.42666666666673</v>
      </c>
      <c r="G28" s="56">
        <v>1394.14</v>
      </c>
      <c r="H28" s="56">
        <v>2091.21</v>
      </c>
      <c r="I28" s="57">
        <v>2706.03</v>
      </c>
      <c r="J28" s="58">
        <v>1244.0333333333333</v>
      </c>
    </row>
    <row r="29" spans="1:13" ht="15.6" customHeight="1" x14ac:dyDescent="0.2">
      <c r="A29" s="47" t="s">
        <v>45</v>
      </c>
      <c r="B29" s="48" t="s">
        <v>6</v>
      </c>
      <c r="C29" s="53">
        <v>20389.5</v>
      </c>
      <c r="D29" s="54">
        <v>10761.125</v>
      </c>
      <c r="E29" s="55">
        <v>9628.375</v>
      </c>
      <c r="F29" s="56">
        <v>2265.5</v>
      </c>
      <c r="G29" s="56">
        <v>3398.25</v>
      </c>
      <c r="H29" s="56">
        <v>5097.375</v>
      </c>
      <c r="I29" s="59">
        <v>1780.2</v>
      </c>
      <c r="J29" s="60">
        <v>7848.1750000000002</v>
      </c>
    </row>
    <row r="30" spans="1:13" ht="15.6" customHeight="1" x14ac:dyDescent="0.2">
      <c r="A30" s="45" t="s">
        <v>46</v>
      </c>
      <c r="B30" s="46" t="s">
        <v>7</v>
      </c>
      <c r="C30" s="53">
        <v>25271.46</v>
      </c>
      <c r="D30" s="54">
        <v>13337.715</v>
      </c>
      <c r="E30" s="55">
        <v>11933.744999999999</v>
      </c>
      <c r="F30" s="56">
        <v>2807.94</v>
      </c>
      <c r="G30" s="56">
        <v>4211.91</v>
      </c>
      <c r="H30" s="56">
        <v>6317.8649999999998</v>
      </c>
      <c r="I30" s="57">
        <v>2168.75</v>
      </c>
      <c r="J30" s="58">
        <v>9764.994999999999</v>
      </c>
    </row>
    <row r="31" spans="1:13" ht="15.6" customHeight="1" x14ac:dyDescent="0.2">
      <c r="A31" s="47">
        <v>129</v>
      </c>
      <c r="B31" s="48" t="s">
        <v>8</v>
      </c>
      <c r="C31" s="53">
        <v>7357.26</v>
      </c>
      <c r="D31" s="54">
        <v>3882.9983333333334</v>
      </c>
      <c r="E31" s="55">
        <v>3474.2616666666668</v>
      </c>
      <c r="F31" s="56">
        <v>817.47333333333336</v>
      </c>
      <c r="G31" s="56">
        <v>1226.21</v>
      </c>
      <c r="H31" s="56">
        <v>1839.3150000000001</v>
      </c>
      <c r="I31" s="59">
        <v>2236.25</v>
      </c>
      <c r="J31" s="60">
        <v>1238.0116666666668</v>
      </c>
    </row>
    <row r="32" spans="1:13" ht="15.6" customHeight="1" x14ac:dyDescent="0.2">
      <c r="A32" s="45" t="s">
        <v>47</v>
      </c>
      <c r="B32" s="46" t="s">
        <v>9</v>
      </c>
      <c r="C32" s="53">
        <v>23771.279999999999</v>
      </c>
      <c r="D32" s="54">
        <v>12545.953333333333</v>
      </c>
      <c r="E32" s="55">
        <v>11225.326666666666</v>
      </c>
      <c r="F32" s="56">
        <v>2641.2533333333336</v>
      </c>
      <c r="G32" s="56">
        <v>3961.88</v>
      </c>
      <c r="H32" s="56">
        <v>5942.82</v>
      </c>
      <c r="I32" s="57">
        <v>3973.76</v>
      </c>
      <c r="J32" s="58">
        <v>1655.7333333333336</v>
      </c>
    </row>
    <row r="33" spans="1:10" ht="15.6" customHeight="1" x14ac:dyDescent="0.2">
      <c r="A33" s="47" t="s">
        <v>10</v>
      </c>
      <c r="B33" s="48" t="s">
        <v>11</v>
      </c>
      <c r="C33" s="53">
        <v>11850</v>
      </c>
      <c r="D33" s="54">
        <v>12545.953333333333</v>
      </c>
      <c r="E33" s="55">
        <v>5595.833333333333</v>
      </c>
      <c r="F33" s="56">
        <v>1316.6666666666667</v>
      </c>
      <c r="G33" s="56">
        <v>1975</v>
      </c>
      <c r="H33" s="56">
        <v>2962.5</v>
      </c>
      <c r="I33" s="59">
        <v>3950</v>
      </c>
      <c r="J33" s="60">
        <v>1645.833333333333</v>
      </c>
    </row>
    <row r="34" spans="1:10" ht="15.6" customHeight="1" x14ac:dyDescent="0.2">
      <c r="A34" s="45">
        <v>137</v>
      </c>
      <c r="B34" s="46" t="s">
        <v>12</v>
      </c>
      <c r="C34" s="53">
        <v>7698.75</v>
      </c>
      <c r="D34" s="54">
        <v>4063.2291666666665</v>
      </c>
      <c r="E34" s="55">
        <v>3635.5208333333335</v>
      </c>
      <c r="F34" s="56">
        <v>855.41666666666663</v>
      </c>
      <c r="G34" s="56">
        <v>1283.125</v>
      </c>
      <c r="H34" s="56">
        <v>1924.6875</v>
      </c>
      <c r="I34" s="57">
        <v>0</v>
      </c>
      <c r="J34" s="58">
        <v>3635.5208333333335</v>
      </c>
    </row>
    <row r="35" spans="1:10" ht="15.6" customHeight="1" x14ac:dyDescent="0.2">
      <c r="A35" s="47" t="s">
        <v>48</v>
      </c>
      <c r="B35" s="48" t="s">
        <v>13</v>
      </c>
      <c r="C35" s="53">
        <v>16022.929999999998</v>
      </c>
      <c r="D35" s="54">
        <v>8546.626666666667</v>
      </c>
      <c r="E35" s="55">
        <v>7476.3033333333315</v>
      </c>
      <c r="F35" s="56">
        <v>1677.3766666666668</v>
      </c>
      <c r="G35" s="56">
        <v>2747.7</v>
      </c>
      <c r="H35" s="56">
        <v>4121.5499999999993</v>
      </c>
      <c r="I35" s="59">
        <v>2643.75</v>
      </c>
      <c r="J35" s="60">
        <v>4832.5533333333315</v>
      </c>
    </row>
    <row r="36" spans="1:10" ht="15.6" customHeight="1" x14ac:dyDescent="0.2">
      <c r="A36" s="45">
        <v>143</v>
      </c>
      <c r="B36" s="46" t="s">
        <v>49</v>
      </c>
      <c r="C36" s="53">
        <v>8866.130000000001</v>
      </c>
      <c r="D36" s="54">
        <v>4679.3483333333334</v>
      </c>
      <c r="E36" s="55">
        <v>4186.7816666666677</v>
      </c>
      <c r="F36" s="56">
        <v>985.12333333333333</v>
      </c>
      <c r="G36" s="56">
        <v>1477.69</v>
      </c>
      <c r="H36" s="56">
        <v>2216.5349999999999</v>
      </c>
      <c r="I36" s="57">
        <v>0</v>
      </c>
      <c r="J36" s="58">
        <v>4186.7816666666677</v>
      </c>
    </row>
    <row r="37" spans="1:10" ht="15.6" customHeight="1" x14ac:dyDescent="0.2">
      <c r="A37" s="47">
        <v>145</v>
      </c>
      <c r="B37" s="48" t="s">
        <v>14</v>
      </c>
      <c r="C37" s="53">
        <v>9081.81</v>
      </c>
      <c r="D37" s="54">
        <v>4793.1774999999998</v>
      </c>
      <c r="E37" s="55">
        <v>4288.6324999999997</v>
      </c>
      <c r="F37" s="56">
        <v>1009.09</v>
      </c>
      <c r="G37" s="56">
        <v>1513.635</v>
      </c>
      <c r="H37" s="56">
        <v>2270.4524999999999</v>
      </c>
      <c r="I37" s="59">
        <v>2396.25</v>
      </c>
      <c r="J37" s="60">
        <v>1892.3824999999997</v>
      </c>
    </row>
    <row r="38" spans="1:10" ht="15.6" customHeight="1" x14ac:dyDescent="0.2">
      <c r="A38" s="45">
        <v>149</v>
      </c>
      <c r="B38" s="46" t="s">
        <v>15</v>
      </c>
      <c r="C38" s="53">
        <v>19028.64</v>
      </c>
      <c r="D38" s="54">
        <v>10042.893333333333</v>
      </c>
      <c r="E38" s="55">
        <v>8985.746666666666</v>
      </c>
      <c r="F38" s="56">
        <v>2114.2933333333335</v>
      </c>
      <c r="G38" s="56">
        <v>3171.44</v>
      </c>
      <c r="H38" s="56">
        <v>4757.16</v>
      </c>
      <c r="I38" s="57">
        <v>0</v>
      </c>
      <c r="J38" s="58">
        <v>8985.746666666666</v>
      </c>
    </row>
    <row r="39" spans="1:10" ht="15.6" customHeight="1" thickBot="1" x14ac:dyDescent="0.25">
      <c r="A39" s="49"/>
      <c r="B39" s="50"/>
      <c r="C39" s="51">
        <v>200185.53999999998</v>
      </c>
      <c r="D39" s="51">
        <v>105850.52083333334</v>
      </c>
      <c r="E39" s="51">
        <v>94335.019166666665</v>
      </c>
      <c r="F39" s="51">
        <v>22336.183333333334</v>
      </c>
      <c r="G39" s="51">
        <v>32736.809999999994</v>
      </c>
      <c r="H39" s="51">
        <v>50777.527500000011</v>
      </c>
      <c r="I39" s="51">
        <v>32857.18</v>
      </c>
      <c r="J39" s="52">
        <v>61477.839166666665</v>
      </c>
    </row>
  </sheetData>
  <pageMargins left="0.25" right="0.25" top="0.75" bottom="0.75" header="0.3" footer="0.3"/>
  <pageSetup scale="79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cp:lastPrinted>2020-04-01T14:35:55Z</cp:lastPrinted>
  <dcterms:created xsi:type="dcterms:W3CDTF">2020-03-25T19:25:01Z</dcterms:created>
  <dcterms:modified xsi:type="dcterms:W3CDTF">2020-04-01T14:38:55Z</dcterms:modified>
</cp:coreProperties>
</file>