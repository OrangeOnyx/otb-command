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COVID Investar\"/>
    </mc:Choice>
  </mc:AlternateContent>
  <xr:revisionPtr revIDLastSave="0" documentId="13_ncr:1_{EA9B08EE-C773-49C1-BCB3-0B0B8F111E02}" xr6:coauthVersionLast="45" xr6:coauthVersionMax="45" xr10:uidLastSave="{00000000-0000-0000-0000-000000000000}"/>
  <bookViews>
    <workbookView xWindow="1068" yWindow="180" windowWidth="16704" windowHeight="10992" xr2:uid="{2D8B4ADC-8DEB-4A41-9EA8-9AC97045D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P5" i="1" l="1"/>
  <c r="P6" i="1"/>
  <c r="P7" i="1"/>
  <c r="P8" i="1"/>
  <c r="P9" i="1"/>
  <c r="P10" i="1"/>
  <c r="P11" i="1"/>
  <c r="P12" i="1"/>
  <c r="P13" i="1"/>
  <c r="P14" i="1"/>
  <c r="P15" i="1"/>
  <c r="P16" i="1"/>
  <c r="R16" i="1" s="1"/>
  <c r="S16" i="1" s="1"/>
  <c r="P17" i="1"/>
  <c r="P18" i="1"/>
  <c r="P19" i="1"/>
  <c r="P20" i="1"/>
  <c r="P21" i="1"/>
  <c r="P22" i="1"/>
  <c r="P23" i="1"/>
  <c r="P24" i="1"/>
  <c r="R24" i="1" s="1"/>
  <c r="S24" i="1" s="1"/>
  <c r="P25" i="1"/>
  <c r="P26" i="1"/>
  <c r="P27" i="1"/>
  <c r="P28" i="1"/>
  <c r="P29" i="1"/>
  <c r="N5" i="1"/>
  <c r="N6" i="1"/>
  <c r="N7" i="1"/>
  <c r="N8" i="1"/>
  <c r="N9" i="1"/>
  <c r="N10" i="1"/>
  <c r="N11" i="1"/>
  <c r="N12" i="1"/>
  <c r="N13" i="1"/>
  <c r="N14" i="1"/>
  <c r="N15" i="1"/>
  <c r="R15" i="1" s="1"/>
  <c r="S15" i="1" s="1"/>
  <c r="N16" i="1"/>
  <c r="N17" i="1"/>
  <c r="N18" i="1"/>
  <c r="N19" i="1"/>
  <c r="N20" i="1"/>
  <c r="N21" i="1"/>
  <c r="N22" i="1"/>
  <c r="N23" i="1"/>
  <c r="R23" i="1" s="1"/>
  <c r="S23" i="1" s="1"/>
  <c r="N24" i="1"/>
  <c r="N25" i="1"/>
  <c r="N26" i="1"/>
  <c r="N27" i="1"/>
  <c r="N28" i="1"/>
  <c r="N29" i="1"/>
  <c r="L5" i="1"/>
  <c r="L32" i="1" s="1"/>
  <c r="L6" i="1"/>
  <c r="R6" i="1" s="1"/>
  <c r="S6" i="1" s="1"/>
  <c r="L7" i="1"/>
  <c r="L8" i="1"/>
  <c r="R8" i="1" s="1"/>
  <c r="S8" i="1" s="1"/>
  <c r="L9" i="1"/>
  <c r="L10" i="1"/>
  <c r="L11" i="1"/>
  <c r="R11" i="1" s="1"/>
  <c r="S11" i="1" s="1"/>
  <c r="L12" i="1"/>
  <c r="R12" i="1" s="1"/>
  <c r="S12" i="1" s="1"/>
  <c r="L13" i="1"/>
  <c r="L14" i="1"/>
  <c r="R14" i="1" s="1"/>
  <c r="S14" i="1" s="1"/>
  <c r="L15" i="1"/>
  <c r="L16" i="1"/>
  <c r="L17" i="1"/>
  <c r="L18" i="1"/>
  <c r="L19" i="1"/>
  <c r="L20" i="1"/>
  <c r="L21" i="1"/>
  <c r="L22" i="1"/>
  <c r="R22" i="1" s="1"/>
  <c r="S22" i="1" s="1"/>
  <c r="L23" i="1"/>
  <c r="L24" i="1"/>
  <c r="L25" i="1"/>
  <c r="L26" i="1"/>
  <c r="L27" i="1"/>
  <c r="L28" i="1"/>
  <c r="L29" i="1"/>
  <c r="R7" i="1"/>
  <c r="S7" i="1" s="1"/>
  <c r="R25" i="1"/>
  <c r="S25" i="1" s="1"/>
  <c r="R27" i="1"/>
  <c r="S27" i="1" s="1"/>
  <c r="J32" i="1"/>
  <c r="H32" i="1"/>
  <c r="F32" i="1"/>
  <c r="D32" i="1"/>
  <c r="R26" i="1" l="1"/>
  <c r="S26" i="1" s="1"/>
  <c r="R18" i="1"/>
  <c r="S18" i="1" s="1"/>
  <c r="R10" i="1"/>
  <c r="S10" i="1" s="1"/>
  <c r="R19" i="1"/>
  <c r="S19" i="1" s="1"/>
  <c r="R17" i="1"/>
  <c r="S17" i="1" s="1"/>
  <c r="R9" i="1"/>
  <c r="S9" i="1" s="1"/>
  <c r="R28" i="1"/>
  <c r="S28" i="1" s="1"/>
  <c r="R20" i="1"/>
  <c r="S20" i="1" s="1"/>
  <c r="R29" i="1"/>
  <c r="S29" i="1" s="1"/>
  <c r="R21" i="1"/>
  <c r="S21" i="1" s="1"/>
  <c r="S32" i="1" s="1"/>
  <c r="R13" i="1"/>
  <c r="S13" i="1" s="1"/>
  <c r="R5" i="1"/>
  <c r="S5" i="1" s="1"/>
  <c r="P32" i="1"/>
  <c r="N32" i="1"/>
  <c r="R32" i="1" l="1"/>
</calcChain>
</file>

<file path=xl/sharedStrings.xml><?xml version="1.0" encoding="utf-8"?>
<sst xmlns="http://schemas.openxmlformats.org/spreadsheetml/2006/main" count="54" uniqueCount="38">
  <si>
    <t>TENANT</t>
  </si>
  <si>
    <t>VACANT</t>
  </si>
  <si>
    <t>Pink Paisley</t>
  </si>
  <si>
    <t>Hershey's</t>
  </si>
  <si>
    <t>The Clothing Loft</t>
  </si>
  <si>
    <t>Victoria Nails</t>
  </si>
  <si>
    <t>Human 360</t>
  </si>
  <si>
    <t>Cat Clinic of Lafayette</t>
  </si>
  <si>
    <t xml:space="preserve">Lola Pink Fabrics </t>
  </si>
  <si>
    <t>Lola Pink Fabrics</t>
  </si>
  <si>
    <t>Elle Rae Boutique</t>
  </si>
  <si>
    <t>Oupac</t>
  </si>
  <si>
    <t>Politics</t>
  </si>
  <si>
    <t>135 A</t>
  </si>
  <si>
    <t>Sneaker Politics</t>
  </si>
  <si>
    <t>135 B</t>
  </si>
  <si>
    <t>Elle Rae Warehouse</t>
  </si>
  <si>
    <t>Dealer Track</t>
  </si>
  <si>
    <t>Franklin Financial Group</t>
  </si>
  <si>
    <t xml:space="preserve">Next Level Fitnes </t>
  </si>
  <si>
    <t>Jason's Deli</t>
  </si>
  <si>
    <t>OSC</t>
  </si>
  <si>
    <t>TOTAL</t>
  </si>
  <si>
    <t>JD Bank</t>
  </si>
  <si>
    <t>Parking</t>
  </si>
  <si>
    <t>C&amp;C</t>
  </si>
  <si>
    <t>MONTH</t>
  </si>
  <si>
    <t xml:space="preserve">April 2020 </t>
  </si>
  <si>
    <t>May 2020</t>
  </si>
  <si>
    <t>June 2020</t>
  </si>
  <si>
    <t>N/A</t>
  </si>
  <si>
    <t>DEPOSIT</t>
  </si>
  <si>
    <t xml:space="preserve">New April 1/3 </t>
  </si>
  <si>
    <t>New May 1/2</t>
  </si>
  <si>
    <t>New June 3/4</t>
  </si>
  <si>
    <t>BALANCE</t>
  </si>
  <si>
    <t>BALANCE - DEPOSIT</t>
  </si>
  <si>
    <t>April/May/June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</si>
</sst>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Garamond"/>
      <family val="1"/>
    </font>
    <font>
      <b/>
      <sz val="12"/>
      <name val="Garamond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Garamond"/>
      <family val="1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Garamond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3">
    <xf numFmtId="0" fontId="0" fillId="0" borderId="0" xfId="0"/>
    <xf numFmtId="0" fontId="3" fillId="4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/>
    <xf numFmtId="0" fontId="0" fillId="2" borderId="1" xfId="0" applyFill="1" applyBorder="1"/>
    <xf numFmtId="12" fontId="3" fillId="2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7" fontId="0" fillId="0" borderId="1" xfId="1" applyNumberFormat="1" applyFont="1" applyBorder="1" applyAlignment="1">
      <alignment horizontal="right"/>
    </xf>
    <xf numFmtId="164" fontId="5" fillId="3" borderId="1" xfId="0" applyNumberFormat="1" applyFont="1" applyFill="1" applyBorder="1"/>
    <xf numFmtId="164" fontId="1" fillId="5" borderId="1" xfId="0" applyNumberFormat="1" applyFont="1" applyFill="1" applyBorder="1"/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164" fontId="8" fillId="3" borderId="1" xfId="0" applyNumberFormat="1" applyFont="1" applyFill="1" applyBorder="1"/>
    <xf numFmtId="0" fontId="8" fillId="3" borderId="1" xfId="0" applyFont="1" applyFill="1" applyBorder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164" fontId="8" fillId="2" borderId="1" xfId="0" applyNumberFormat="1" applyFont="1" applyFill="1" applyBorder="1"/>
    <xf numFmtId="0" fontId="8" fillId="2" borderId="1" xfId="0" applyFont="1" applyFill="1" applyBorder="1"/>
    <xf numFmtId="164" fontId="9" fillId="3" borderId="1" xfId="0" applyNumberFormat="1" applyFont="1" applyFill="1" applyBorder="1"/>
    <xf numFmtId="7" fontId="2" fillId="6" borderId="1" xfId="0" applyNumberFormat="1" applyFont="1" applyFill="1" applyBorder="1" applyAlignment="1">
      <alignment horizontal="right" vertical="center"/>
    </xf>
    <xf numFmtId="7" fontId="6" fillId="6" borderId="1" xfId="0" applyNumberFormat="1" applyFont="1" applyFill="1" applyBorder="1" applyAlignment="1">
      <alignment horizontal="right" vertical="center"/>
    </xf>
    <xf numFmtId="7" fontId="0" fillId="0" borderId="1" xfId="0" applyNumberFormat="1" applyBorder="1" applyAlignment="1">
      <alignment horizontal="right"/>
    </xf>
    <xf numFmtId="7" fontId="0" fillId="3" borderId="1" xfId="0" applyNumberFormat="1" applyFill="1" applyBorder="1" applyAlignment="1">
      <alignment horizontal="right"/>
    </xf>
    <xf numFmtId="7" fontId="0" fillId="2" borderId="1" xfId="0" applyNumberFormat="1" applyFill="1" applyBorder="1" applyAlignment="1">
      <alignment horizontal="right"/>
    </xf>
    <xf numFmtId="7" fontId="8" fillId="3" borderId="1" xfId="0" applyNumberFormat="1" applyFont="1" applyFill="1" applyBorder="1" applyAlignment="1">
      <alignment horizontal="right"/>
    </xf>
    <xf numFmtId="7" fontId="8" fillId="2" borderId="1" xfId="0" applyNumberFormat="1" applyFont="1" applyFill="1" applyBorder="1" applyAlignment="1">
      <alignment horizontal="right"/>
    </xf>
    <xf numFmtId="7" fontId="1" fillId="5" borderId="1" xfId="0" applyNumberFormat="1" applyFont="1" applyFill="1" applyBorder="1" applyAlignment="1">
      <alignment horizontal="right"/>
    </xf>
    <xf numFmtId="7" fontId="10" fillId="6" borderId="1" xfId="0" applyNumberFormat="1" applyFont="1" applyFill="1" applyBorder="1" applyAlignment="1">
      <alignment horizontal="right" vertical="center"/>
    </xf>
    <xf numFmtId="164" fontId="2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0" fillId="7" borderId="1" xfId="0" applyNumberFormat="1" applyFill="1" applyBorder="1"/>
    <xf numFmtId="164" fontId="8" fillId="7" borderId="1" xfId="0" applyNumberFormat="1" applyFont="1" applyFill="1" applyBorder="1"/>
    <xf numFmtId="164" fontId="5" fillId="7" borderId="1" xfId="0" applyNumberFormat="1" applyFont="1" applyFill="1" applyBorder="1"/>
    <xf numFmtId="164" fontId="9" fillId="7" borderId="1" xfId="0" applyNumberFormat="1" applyFont="1" applyFill="1" applyBorder="1"/>
    <xf numFmtId="0" fontId="0" fillId="7" borderId="1" xfId="0" applyFill="1" applyBorder="1"/>
    <xf numFmtId="7" fontId="2" fillId="7" borderId="1" xfId="0" applyNumberFormat="1" applyFont="1" applyFill="1" applyBorder="1" applyAlignment="1">
      <alignment horizontal="center" vertical="top"/>
    </xf>
    <xf numFmtId="7" fontId="6" fillId="7" borderId="1" xfId="0" applyNumberFormat="1" applyFont="1" applyFill="1" applyBorder="1" applyAlignment="1">
      <alignment horizontal="right" vertical="center"/>
    </xf>
    <xf numFmtId="7" fontId="0" fillId="7" borderId="1" xfId="0" applyNumberFormat="1" applyFill="1" applyBorder="1" applyAlignment="1">
      <alignment horizontal="right"/>
    </xf>
    <xf numFmtId="7" fontId="0" fillId="7" borderId="1" xfId="1" applyNumberFormat="1" applyFont="1" applyFill="1" applyBorder="1" applyAlignment="1">
      <alignment horizontal="right"/>
    </xf>
    <xf numFmtId="7" fontId="8" fillId="7" borderId="1" xfId="0" applyNumberFormat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AF87-0E50-4A8F-98AE-A3FB70559EE8}">
  <sheetPr>
    <pageSetUpPr fitToPage="1"/>
  </sheetPr>
  <dimension ref="A1:S36"/>
  <sheetViews>
    <sheetView tabSelected="1" topLeftCell="B13" workbookViewId="0">
      <selection activeCell="B33" sqref="B33"/>
    </sheetView>
  </sheetViews>
  <sheetFormatPr defaultRowHeight="15.6" customHeight="1" x14ac:dyDescent="0.3"/>
  <cols>
    <col min="1" max="1" width="8.88671875" style="3"/>
    <col min="2" max="2" width="24.88671875" style="3" customWidth="1"/>
    <col min="3" max="3" width="0.6640625" style="7" customWidth="1"/>
    <col min="4" max="4" width="10.33203125" style="7" customWidth="1"/>
    <col min="5" max="5" width="0.6640625" style="7" customWidth="1"/>
    <col min="6" max="6" width="10.77734375" style="7" customWidth="1"/>
    <col min="7" max="7" width="0.6640625" style="7" customWidth="1"/>
    <col min="8" max="8" width="11.109375" style="7" customWidth="1"/>
    <col min="9" max="9" width="13.21875" style="47" customWidth="1"/>
    <col min="10" max="10" width="12.109375" style="34" customWidth="1"/>
    <col min="11" max="11" width="0.6640625" style="7" customWidth="1"/>
    <col min="12" max="12" width="10.33203125" style="7" customWidth="1"/>
    <col min="13" max="13" width="0.6640625" style="7" customWidth="1"/>
    <col min="14" max="14" width="10.77734375" style="7" customWidth="1"/>
    <col min="15" max="15" width="0.6640625" style="7" customWidth="1"/>
    <col min="16" max="16" width="11.109375" style="7" customWidth="1"/>
    <col min="17" max="17" width="0.6640625" style="7" customWidth="1"/>
    <col min="18" max="18" width="15.6640625" style="50" customWidth="1"/>
    <col min="19" max="19" width="19" style="34" customWidth="1"/>
    <col min="20" max="16384" width="8.88671875" style="3"/>
  </cols>
  <sheetData>
    <row r="1" spans="1:19" s="19" customFormat="1" ht="15.6" customHeight="1" x14ac:dyDescent="0.3">
      <c r="A1" s="17"/>
      <c r="B1" s="17" t="s">
        <v>0</v>
      </c>
      <c r="C1" s="18"/>
      <c r="D1" s="18" t="s">
        <v>26</v>
      </c>
      <c r="E1" s="18"/>
      <c r="F1" s="18" t="s">
        <v>26</v>
      </c>
      <c r="G1" s="18"/>
      <c r="H1" s="18" t="s">
        <v>26</v>
      </c>
      <c r="I1" s="41" t="s">
        <v>22</v>
      </c>
      <c r="J1" s="32" t="s">
        <v>31</v>
      </c>
      <c r="K1" s="18"/>
      <c r="L1" s="18" t="s">
        <v>26</v>
      </c>
      <c r="M1" s="18"/>
      <c r="N1" s="18" t="s">
        <v>26</v>
      </c>
      <c r="O1" s="18"/>
      <c r="P1" s="18" t="s">
        <v>26</v>
      </c>
      <c r="Q1" s="18"/>
      <c r="R1" s="48" t="s">
        <v>35</v>
      </c>
      <c r="S1" s="40" t="s">
        <v>36</v>
      </c>
    </row>
    <row r="2" spans="1:19" s="22" customFormat="1" ht="15.6" customHeight="1" x14ac:dyDescent="0.3">
      <c r="A2" s="20"/>
      <c r="B2" s="20"/>
      <c r="C2" s="21"/>
      <c r="D2" s="21" t="s">
        <v>27</v>
      </c>
      <c r="E2" s="21"/>
      <c r="F2" s="21" t="s">
        <v>28</v>
      </c>
      <c r="G2" s="21"/>
      <c r="H2" s="21" t="s">
        <v>29</v>
      </c>
      <c r="I2" s="42" t="s">
        <v>37</v>
      </c>
      <c r="J2" s="33"/>
      <c r="K2" s="21"/>
      <c r="L2" s="21" t="s">
        <v>32</v>
      </c>
      <c r="M2" s="21"/>
      <c r="N2" s="21" t="s">
        <v>33</v>
      </c>
      <c r="O2" s="21"/>
      <c r="P2" s="21" t="s">
        <v>34</v>
      </c>
      <c r="Q2" s="21"/>
      <c r="R2" s="49"/>
      <c r="S2" s="33"/>
    </row>
    <row r="3" spans="1:19" ht="15.6" customHeight="1" x14ac:dyDescent="0.3">
      <c r="A3" s="4">
        <v>101</v>
      </c>
      <c r="B3" s="1" t="s">
        <v>1</v>
      </c>
      <c r="C3" s="12"/>
      <c r="D3" s="12"/>
      <c r="E3" s="12"/>
      <c r="F3" s="12"/>
      <c r="G3" s="12"/>
      <c r="H3" s="12"/>
      <c r="I3" s="43"/>
      <c r="J3" s="34" t="s">
        <v>30</v>
      </c>
      <c r="K3" s="12"/>
      <c r="L3" s="12"/>
      <c r="M3" s="12"/>
      <c r="N3" s="12"/>
      <c r="O3" s="12"/>
      <c r="P3" s="12"/>
      <c r="Q3" s="12"/>
    </row>
    <row r="4" spans="1:19" ht="15.6" customHeight="1" x14ac:dyDescent="0.3">
      <c r="A4" s="4">
        <v>103</v>
      </c>
      <c r="B4" s="1" t="s">
        <v>1</v>
      </c>
      <c r="C4" s="12"/>
      <c r="D4" s="12"/>
      <c r="E4" s="12"/>
      <c r="F4" s="12"/>
      <c r="G4" s="12"/>
      <c r="H4" s="12"/>
      <c r="I4" s="43"/>
      <c r="J4" s="34" t="s">
        <v>30</v>
      </c>
      <c r="K4" s="12"/>
      <c r="L4" s="12"/>
      <c r="M4" s="12"/>
      <c r="N4" s="12"/>
      <c r="O4" s="12"/>
      <c r="P4" s="12"/>
      <c r="Q4" s="12"/>
    </row>
    <row r="5" spans="1:19" s="7" customFormat="1" ht="15.6" customHeight="1" x14ac:dyDescent="0.3">
      <c r="A5" s="4">
        <v>105</v>
      </c>
      <c r="B5" s="6" t="s">
        <v>2</v>
      </c>
      <c r="C5" s="12"/>
      <c r="D5" s="12">
        <v>3231.16</v>
      </c>
      <c r="E5" s="12"/>
      <c r="F5" s="12">
        <v>3231.16</v>
      </c>
      <c r="G5" s="12"/>
      <c r="H5" s="12">
        <v>3231.16</v>
      </c>
      <c r="I5" s="43">
        <f t="shared" ref="I5:I29" si="0">D5+F5+H5</f>
        <v>9693.48</v>
      </c>
      <c r="J5" s="14">
        <v>2499.75</v>
      </c>
      <c r="K5" s="12"/>
      <c r="L5" s="12">
        <f t="shared" ref="L5:L29" si="1">D5/3</f>
        <v>1077.0533333333333</v>
      </c>
      <c r="M5" s="12"/>
      <c r="N5" s="12">
        <f t="shared" ref="N5:N29" si="2">F5/2</f>
        <v>1615.58</v>
      </c>
      <c r="O5" s="12"/>
      <c r="P5" s="12">
        <f t="shared" ref="P5:P29" si="3">H5/4*3</f>
        <v>2423.37</v>
      </c>
      <c r="Q5" s="12"/>
      <c r="R5" s="51">
        <f t="shared" ref="R5:R29" si="4">(D5+F5+H5)-(L5+N5+P5)</f>
        <v>4577.4766666666665</v>
      </c>
      <c r="S5" s="14">
        <f t="shared" ref="S5:S29" si="5">R5-J5</f>
        <v>2077.7266666666665</v>
      </c>
    </row>
    <row r="6" spans="1:19" s="11" customFormat="1" ht="15.6" customHeight="1" x14ac:dyDescent="0.3">
      <c r="A6" s="5">
        <v>107</v>
      </c>
      <c r="B6" s="2" t="s">
        <v>3</v>
      </c>
      <c r="C6" s="13"/>
      <c r="D6" s="13">
        <v>2389.36</v>
      </c>
      <c r="E6" s="13"/>
      <c r="F6" s="13">
        <v>2389.36</v>
      </c>
      <c r="G6" s="13"/>
      <c r="H6" s="13">
        <v>2389.36</v>
      </c>
      <c r="I6" s="43">
        <f t="shared" si="0"/>
        <v>7168.08</v>
      </c>
      <c r="J6" s="35">
        <v>0</v>
      </c>
      <c r="K6" s="13"/>
      <c r="L6" s="13">
        <f t="shared" si="1"/>
        <v>796.45333333333338</v>
      </c>
      <c r="M6" s="13"/>
      <c r="N6" s="13">
        <f t="shared" si="2"/>
        <v>1194.68</v>
      </c>
      <c r="O6" s="13"/>
      <c r="P6" s="13">
        <f t="shared" si="3"/>
        <v>1792.02</v>
      </c>
      <c r="Q6" s="13"/>
      <c r="R6" s="50">
        <f t="shared" si="4"/>
        <v>3384.9266666666663</v>
      </c>
      <c r="S6" s="35">
        <f>R6-J6</f>
        <v>3384.9266666666663</v>
      </c>
    </row>
    <row r="7" spans="1:19" s="7" customFormat="1" ht="15.6" customHeight="1" x14ac:dyDescent="0.3">
      <c r="A7" s="4">
        <v>109</v>
      </c>
      <c r="B7" s="6" t="s">
        <v>25</v>
      </c>
      <c r="C7" s="12"/>
      <c r="D7" s="12">
        <v>9708.26</v>
      </c>
      <c r="E7" s="12"/>
      <c r="F7" s="12">
        <v>9708.26</v>
      </c>
      <c r="G7" s="12"/>
      <c r="H7" s="12">
        <v>9708.26</v>
      </c>
      <c r="I7" s="43">
        <f t="shared" si="0"/>
        <v>29124.78</v>
      </c>
      <c r="J7" s="36">
        <v>2169.56</v>
      </c>
      <c r="K7" s="12"/>
      <c r="L7" s="12">
        <f t="shared" si="1"/>
        <v>3236.0866666666666</v>
      </c>
      <c r="M7" s="12"/>
      <c r="N7" s="12">
        <f t="shared" si="2"/>
        <v>4854.13</v>
      </c>
      <c r="O7" s="12"/>
      <c r="P7" s="12">
        <f t="shared" si="3"/>
        <v>7281.1949999999997</v>
      </c>
      <c r="Q7" s="12"/>
      <c r="R7" s="50">
        <f t="shared" si="4"/>
        <v>13753.368333333332</v>
      </c>
      <c r="S7" s="36">
        <f t="shared" si="5"/>
        <v>11583.808333333332</v>
      </c>
    </row>
    <row r="8" spans="1:19" s="7" customFormat="1" ht="15.6" customHeight="1" x14ac:dyDescent="0.3">
      <c r="A8" s="4">
        <v>111</v>
      </c>
      <c r="B8" s="6" t="s">
        <v>25</v>
      </c>
      <c r="C8" s="12"/>
      <c r="D8" s="12"/>
      <c r="E8" s="12"/>
      <c r="F8" s="12"/>
      <c r="G8" s="12"/>
      <c r="H8" s="12"/>
      <c r="I8" s="43">
        <f t="shared" si="0"/>
        <v>0</v>
      </c>
      <c r="J8" s="36">
        <v>0</v>
      </c>
      <c r="K8" s="12"/>
      <c r="L8" s="12">
        <f t="shared" si="1"/>
        <v>0</v>
      </c>
      <c r="M8" s="12"/>
      <c r="N8" s="12">
        <f t="shared" si="2"/>
        <v>0</v>
      </c>
      <c r="O8" s="12"/>
      <c r="P8" s="12">
        <f t="shared" si="3"/>
        <v>0</v>
      </c>
      <c r="Q8" s="12"/>
      <c r="R8" s="50">
        <f t="shared" si="4"/>
        <v>0</v>
      </c>
      <c r="S8" s="36">
        <f t="shared" si="5"/>
        <v>0</v>
      </c>
    </row>
    <row r="9" spans="1:19" s="7" customFormat="1" ht="15.6" customHeight="1" x14ac:dyDescent="0.3">
      <c r="A9" s="4">
        <v>113</v>
      </c>
      <c r="B9" s="6" t="s">
        <v>25</v>
      </c>
      <c r="C9" s="12"/>
      <c r="D9" s="12"/>
      <c r="E9" s="12"/>
      <c r="F9" s="12"/>
      <c r="G9" s="12"/>
      <c r="H9" s="12"/>
      <c r="I9" s="43">
        <f t="shared" si="0"/>
        <v>0</v>
      </c>
      <c r="J9" s="36">
        <v>0</v>
      </c>
      <c r="K9" s="12"/>
      <c r="L9" s="12">
        <f t="shared" si="1"/>
        <v>0</v>
      </c>
      <c r="M9" s="12"/>
      <c r="N9" s="12">
        <f t="shared" si="2"/>
        <v>0</v>
      </c>
      <c r="O9" s="12"/>
      <c r="P9" s="12">
        <f t="shared" si="3"/>
        <v>0</v>
      </c>
      <c r="Q9" s="12"/>
      <c r="R9" s="50">
        <f>(D9+F9+H9)-(L9+N9+P9)</f>
        <v>0</v>
      </c>
      <c r="S9" s="36">
        <f t="shared" si="5"/>
        <v>0</v>
      </c>
    </row>
    <row r="10" spans="1:19" s="7" customFormat="1" ht="15.6" customHeight="1" x14ac:dyDescent="0.3">
      <c r="A10" s="4">
        <v>115</v>
      </c>
      <c r="B10" s="6" t="s">
        <v>25</v>
      </c>
      <c r="C10" s="12"/>
      <c r="D10" s="12"/>
      <c r="E10" s="12"/>
      <c r="F10" s="12"/>
      <c r="G10" s="12"/>
      <c r="H10" s="12"/>
      <c r="I10" s="43">
        <f t="shared" si="0"/>
        <v>0</v>
      </c>
      <c r="J10" s="36">
        <v>0</v>
      </c>
      <c r="K10" s="12"/>
      <c r="L10" s="12">
        <f t="shared" si="1"/>
        <v>0</v>
      </c>
      <c r="M10" s="12"/>
      <c r="N10" s="12">
        <f t="shared" si="2"/>
        <v>0</v>
      </c>
      <c r="O10" s="12"/>
      <c r="P10" s="12">
        <f t="shared" si="3"/>
        <v>0</v>
      </c>
      <c r="Q10" s="12"/>
      <c r="R10" s="50">
        <f t="shared" si="4"/>
        <v>0</v>
      </c>
      <c r="S10" s="36">
        <f t="shared" si="5"/>
        <v>0</v>
      </c>
    </row>
    <row r="11" spans="1:19" s="26" customFormat="1" ht="15.6" customHeight="1" x14ac:dyDescent="0.3">
      <c r="A11" s="23">
        <v>117</v>
      </c>
      <c r="B11" s="24" t="s">
        <v>4</v>
      </c>
      <c r="C11" s="25"/>
      <c r="D11" s="25">
        <v>2712.5</v>
      </c>
      <c r="E11" s="25"/>
      <c r="F11" s="25">
        <v>714.29</v>
      </c>
      <c r="G11" s="25"/>
      <c r="H11" s="25">
        <v>714.29</v>
      </c>
      <c r="I11" s="44">
        <f t="shared" si="0"/>
        <v>4141.08</v>
      </c>
      <c r="J11" s="37">
        <v>2260.42</v>
      </c>
      <c r="K11" s="25"/>
      <c r="L11" s="25">
        <f t="shared" si="1"/>
        <v>904.16666666666663</v>
      </c>
      <c r="M11" s="25"/>
      <c r="N11" s="25">
        <f t="shared" si="2"/>
        <v>357.14499999999998</v>
      </c>
      <c r="O11" s="25"/>
      <c r="P11" s="25">
        <f t="shared" si="3"/>
        <v>535.71749999999997</v>
      </c>
      <c r="Q11" s="25"/>
      <c r="R11" s="52">
        <f t="shared" si="4"/>
        <v>2344.0508333333337</v>
      </c>
      <c r="S11" s="37">
        <f t="shared" si="5"/>
        <v>83.630833333333612</v>
      </c>
    </row>
    <row r="12" spans="1:19" s="7" customFormat="1" ht="15.6" customHeight="1" x14ac:dyDescent="0.3">
      <c r="A12" s="8">
        <v>117.5</v>
      </c>
      <c r="B12" s="6" t="s">
        <v>5</v>
      </c>
      <c r="C12" s="12"/>
      <c r="D12" s="12">
        <v>2572.4299999999998</v>
      </c>
      <c r="E12" s="12"/>
      <c r="F12" s="12">
        <v>2572.4299999999998</v>
      </c>
      <c r="G12" s="12"/>
      <c r="H12" s="12">
        <v>2572.4299999999998</v>
      </c>
      <c r="I12" s="43">
        <f t="shared" si="0"/>
        <v>7717.2899999999991</v>
      </c>
      <c r="J12" s="36">
        <v>1842.71</v>
      </c>
      <c r="K12" s="12"/>
      <c r="L12" s="12">
        <f t="shared" si="1"/>
        <v>857.47666666666657</v>
      </c>
      <c r="M12" s="12"/>
      <c r="N12" s="12">
        <f t="shared" si="2"/>
        <v>1286.2149999999999</v>
      </c>
      <c r="O12" s="12"/>
      <c r="P12" s="12">
        <f t="shared" si="3"/>
        <v>1929.3224999999998</v>
      </c>
      <c r="Q12" s="12"/>
      <c r="R12" s="50">
        <f t="shared" si="4"/>
        <v>3644.2758333333327</v>
      </c>
      <c r="S12" s="36">
        <f t="shared" si="5"/>
        <v>1801.5658333333326</v>
      </c>
    </row>
    <row r="13" spans="1:19" s="26" customFormat="1" ht="15.6" customHeight="1" x14ac:dyDescent="0.3">
      <c r="A13" s="23">
        <v>119</v>
      </c>
      <c r="B13" s="24" t="s">
        <v>6</v>
      </c>
      <c r="C13" s="25"/>
      <c r="D13" s="25">
        <v>652.41</v>
      </c>
      <c r="E13" s="25"/>
      <c r="F13" s="25">
        <v>652.41</v>
      </c>
      <c r="G13" s="25"/>
      <c r="H13" s="25">
        <v>2882.16</v>
      </c>
      <c r="I13" s="44">
        <f t="shared" si="0"/>
        <v>4186.9799999999996</v>
      </c>
      <c r="J13" s="37">
        <v>2229.75</v>
      </c>
      <c r="K13" s="25"/>
      <c r="L13" s="25">
        <f t="shared" si="1"/>
        <v>217.47</v>
      </c>
      <c r="M13" s="25"/>
      <c r="N13" s="25">
        <f t="shared" si="2"/>
        <v>326.20499999999998</v>
      </c>
      <c r="O13" s="25"/>
      <c r="P13" s="25">
        <f t="shared" si="3"/>
        <v>2161.62</v>
      </c>
      <c r="Q13" s="25"/>
      <c r="R13" s="52">
        <f t="shared" si="4"/>
        <v>1481.6849999999995</v>
      </c>
      <c r="S13" s="37">
        <f t="shared" si="5"/>
        <v>-748.06500000000051</v>
      </c>
    </row>
    <row r="14" spans="1:19" s="7" customFormat="1" ht="15.6" customHeight="1" x14ac:dyDescent="0.3">
      <c r="A14" s="8">
        <v>119.5</v>
      </c>
      <c r="B14" s="6" t="s">
        <v>7</v>
      </c>
      <c r="C14" s="12"/>
      <c r="D14" s="12">
        <v>2788.28</v>
      </c>
      <c r="E14" s="12"/>
      <c r="F14" s="12">
        <v>2788.28</v>
      </c>
      <c r="G14" s="12"/>
      <c r="H14" s="12">
        <v>2788.28</v>
      </c>
      <c r="I14" s="43">
        <f t="shared" si="0"/>
        <v>8364.84</v>
      </c>
      <c r="J14" s="36">
        <v>2706.03</v>
      </c>
      <c r="K14" s="12"/>
      <c r="L14" s="12">
        <f t="shared" si="1"/>
        <v>929.42666666666673</v>
      </c>
      <c r="M14" s="12"/>
      <c r="N14" s="12">
        <f t="shared" si="2"/>
        <v>1394.14</v>
      </c>
      <c r="O14" s="12"/>
      <c r="P14" s="12">
        <f t="shared" si="3"/>
        <v>2091.21</v>
      </c>
      <c r="Q14" s="12"/>
      <c r="R14" s="50">
        <f t="shared" si="4"/>
        <v>3950.0633333333335</v>
      </c>
      <c r="S14" s="36">
        <f t="shared" si="5"/>
        <v>1244.0333333333333</v>
      </c>
    </row>
    <row r="15" spans="1:19" s="11" customFormat="1" ht="15.6" customHeight="1" x14ac:dyDescent="0.3">
      <c r="A15" s="5">
        <v>121</v>
      </c>
      <c r="B15" s="2" t="s">
        <v>8</v>
      </c>
      <c r="C15" s="13"/>
      <c r="D15" s="13">
        <v>6796.5</v>
      </c>
      <c r="E15" s="13"/>
      <c r="F15" s="13">
        <v>6796.5</v>
      </c>
      <c r="G15" s="13"/>
      <c r="H15" s="13">
        <v>6796.5</v>
      </c>
      <c r="I15" s="43">
        <f t="shared" si="0"/>
        <v>20389.5</v>
      </c>
      <c r="J15" s="35">
        <v>1780.2</v>
      </c>
      <c r="K15" s="13"/>
      <c r="L15" s="13">
        <f t="shared" si="1"/>
        <v>2265.5</v>
      </c>
      <c r="M15" s="13"/>
      <c r="N15" s="13">
        <f t="shared" si="2"/>
        <v>3398.25</v>
      </c>
      <c r="O15" s="13"/>
      <c r="P15" s="13">
        <f t="shared" si="3"/>
        <v>5097.375</v>
      </c>
      <c r="Q15" s="13"/>
      <c r="R15" s="50">
        <f t="shared" si="4"/>
        <v>9628.375</v>
      </c>
      <c r="S15" s="35">
        <f t="shared" si="5"/>
        <v>7848.1750000000002</v>
      </c>
    </row>
    <row r="16" spans="1:19" s="11" customFormat="1" ht="15.6" customHeight="1" x14ac:dyDescent="0.3">
      <c r="A16" s="5">
        <v>123</v>
      </c>
      <c r="B16" s="2" t="s">
        <v>9</v>
      </c>
      <c r="C16" s="13"/>
      <c r="D16" s="13"/>
      <c r="E16" s="13"/>
      <c r="F16" s="13"/>
      <c r="G16" s="13"/>
      <c r="H16" s="13"/>
      <c r="I16" s="43">
        <f t="shared" si="0"/>
        <v>0</v>
      </c>
      <c r="J16" s="35">
        <v>0</v>
      </c>
      <c r="K16" s="13"/>
      <c r="L16" s="13">
        <f t="shared" si="1"/>
        <v>0</v>
      </c>
      <c r="M16" s="13"/>
      <c r="N16" s="13">
        <f t="shared" si="2"/>
        <v>0</v>
      </c>
      <c r="O16" s="13"/>
      <c r="P16" s="13">
        <f t="shared" si="3"/>
        <v>0</v>
      </c>
      <c r="Q16" s="13"/>
      <c r="R16" s="50">
        <f t="shared" si="4"/>
        <v>0</v>
      </c>
      <c r="S16" s="35">
        <f t="shared" si="5"/>
        <v>0</v>
      </c>
    </row>
    <row r="17" spans="1:19" s="7" customFormat="1" ht="15.6" customHeight="1" x14ac:dyDescent="0.3">
      <c r="A17" s="4">
        <v>125</v>
      </c>
      <c r="B17" s="6" t="s">
        <v>10</v>
      </c>
      <c r="C17" s="12"/>
      <c r="D17" s="12">
        <v>5857.57</v>
      </c>
      <c r="E17" s="12"/>
      <c r="F17" s="12">
        <v>5857.57</v>
      </c>
      <c r="G17" s="12"/>
      <c r="H17" s="12">
        <v>5857.57</v>
      </c>
      <c r="I17" s="43">
        <f t="shared" si="0"/>
        <v>17572.71</v>
      </c>
      <c r="J17" s="36">
        <v>2168.75</v>
      </c>
      <c r="K17" s="12"/>
      <c r="L17" s="12">
        <f t="shared" si="1"/>
        <v>1952.5233333333333</v>
      </c>
      <c r="M17" s="12"/>
      <c r="N17" s="12">
        <f t="shared" si="2"/>
        <v>2928.7849999999999</v>
      </c>
      <c r="O17" s="12"/>
      <c r="P17" s="12">
        <f t="shared" si="3"/>
        <v>4393.1774999999998</v>
      </c>
      <c r="Q17" s="12"/>
      <c r="R17" s="50">
        <f t="shared" si="4"/>
        <v>8298.2241666666669</v>
      </c>
      <c r="S17" s="36">
        <f t="shared" si="5"/>
        <v>6129.4741666666669</v>
      </c>
    </row>
    <row r="18" spans="1:19" s="7" customFormat="1" ht="15.6" customHeight="1" x14ac:dyDescent="0.3">
      <c r="A18" s="4">
        <v>127</v>
      </c>
      <c r="B18" s="6" t="s">
        <v>10</v>
      </c>
      <c r="C18" s="12"/>
      <c r="D18" s="12"/>
      <c r="E18" s="12"/>
      <c r="F18" s="12"/>
      <c r="G18" s="12"/>
      <c r="H18" s="12"/>
      <c r="I18" s="43">
        <f t="shared" si="0"/>
        <v>0</v>
      </c>
      <c r="J18" s="36">
        <v>0</v>
      </c>
      <c r="K18" s="12"/>
      <c r="L18" s="12">
        <f t="shared" si="1"/>
        <v>0</v>
      </c>
      <c r="M18" s="12"/>
      <c r="N18" s="12">
        <f t="shared" si="2"/>
        <v>0</v>
      </c>
      <c r="O18" s="12"/>
      <c r="P18" s="12">
        <f t="shared" si="3"/>
        <v>0</v>
      </c>
      <c r="Q18" s="12"/>
      <c r="R18" s="50">
        <f t="shared" si="4"/>
        <v>0</v>
      </c>
      <c r="S18" s="36">
        <f t="shared" si="5"/>
        <v>0</v>
      </c>
    </row>
    <row r="19" spans="1:19" s="11" customFormat="1" ht="15.6" customHeight="1" x14ac:dyDescent="0.3">
      <c r="A19" s="5">
        <v>129</v>
      </c>
      <c r="B19" s="2" t="s">
        <v>11</v>
      </c>
      <c r="C19" s="15"/>
      <c r="D19" s="15">
        <v>2452.42</v>
      </c>
      <c r="E19" s="15"/>
      <c r="F19" s="15">
        <v>2452.42</v>
      </c>
      <c r="G19" s="15"/>
      <c r="H19" s="15">
        <v>2452.42</v>
      </c>
      <c r="I19" s="45">
        <f t="shared" si="0"/>
        <v>7357.26</v>
      </c>
      <c r="J19" s="35">
        <v>2236.25</v>
      </c>
      <c r="K19" s="15"/>
      <c r="L19" s="15">
        <f t="shared" si="1"/>
        <v>817.47333333333336</v>
      </c>
      <c r="M19" s="15"/>
      <c r="N19" s="15">
        <f t="shared" si="2"/>
        <v>1226.21</v>
      </c>
      <c r="O19" s="15"/>
      <c r="P19" s="15">
        <f t="shared" si="3"/>
        <v>1839.3150000000001</v>
      </c>
      <c r="Q19" s="15"/>
      <c r="R19" s="50">
        <f t="shared" si="4"/>
        <v>3474.2616666666668</v>
      </c>
      <c r="S19" s="35">
        <f t="shared" si="5"/>
        <v>1238.0116666666668</v>
      </c>
    </row>
    <row r="20" spans="1:19" s="7" customFormat="1" ht="15.6" customHeight="1" x14ac:dyDescent="0.3">
      <c r="A20" s="4">
        <v>131</v>
      </c>
      <c r="B20" s="6" t="s">
        <v>12</v>
      </c>
      <c r="C20" s="12"/>
      <c r="D20" s="12">
        <v>3973.76</v>
      </c>
      <c r="E20" s="12"/>
      <c r="F20" s="12">
        <v>3973.76</v>
      </c>
      <c r="G20" s="12"/>
      <c r="H20" s="12">
        <v>3973.76</v>
      </c>
      <c r="I20" s="43">
        <f t="shared" si="0"/>
        <v>11921.28</v>
      </c>
      <c r="J20" s="36">
        <v>3973.76</v>
      </c>
      <c r="K20" s="12"/>
      <c r="L20" s="12">
        <f t="shared" si="1"/>
        <v>1324.5866666666668</v>
      </c>
      <c r="M20" s="12"/>
      <c r="N20" s="12">
        <f t="shared" si="2"/>
        <v>1986.88</v>
      </c>
      <c r="O20" s="12"/>
      <c r="P20" s="12">
        <f t="shared" si="3"/>
        <v>2980.32</v>
      </c>
      <c r="Q20" s="12"/>
      <c r="R20" s="50">
        <f t="shared" si="4"/>
        <v>5629.4933333333338</v>
      </c>
      <c r="S20" s="36">
        <f t="shared" si="5"/>
        <v>1655.7333333333336</v>
      </c>
    </row>
    <row r="21" spans="1:19" s="7" customFormat="1" ht="15.6" customHeight="1" x14ac:dyDescent="0.3">
      <c r="A21" s="4">
        <v>133</v>
      </c>
      <c r="B21" s="6" t="s">
        <v>12</v>
      </c>
      <c r="C21" s="12"/>
      <c r="D21" s="12"/>
      <c r="E21" s="12"/>
      <c r="F21" s="12"/>
      <c r="G21" s="12"/>
      <c r="H21" s="12"/>
      <c r="I21" s="43">
        <f t="shared" si="0"/>
        <v>0</v>
      </c>
      <c r="J21" s="36">
        <v>0</v>
      </c>
      <c r="K21" s="12"/>
      <c r="L21" s="12">
        <f t="shared" si="1"/>
        <v>0</v>
      </c>
      <c r="M21" s="12"/>
      <c r="N21" s="12">
        <f t="shared" si="2"/>
        <v>0</v>
      </c>
      <c r="O21" s="12"/>
      <c r="P21" s="12">
        <f t="shared" si="3"/>
        <v>0</v>
      </c>
      <c r="Q21" s="12"/>
      <c r="R21" s="50">
        <f t="shared" si="4"/>
        <v>0</v>
      </c>
      <c r="S21" s="36">
        <f t="shared" si="5"/>
        <v>0</v>
      </c>
    </row>
    <row r="22" spans="1:19" s="7" customFormat="1" ht="15.6" customHeight="1" x14ac:dyDescent="0.3">
      <c r="A22" s="4" t="s">
        <v>13</v>
      </c>
      <c r="B22" s="6" t="s">
        <v>14</v>
      </c>
      <c r="C22" s="12"/>
      <c r="D22" s="12">
        <v>3950</v>
      </c>
      <c r="E22" s="12"/>
      <c r="F22" s="12">
        <v>3950</v>
      </c>
      <c r="G22" s="12"/>
      <c r="H22" s="12">
        <v>3950</v>
      </c>
      <c r="I22" s="43">
        <f t="shared" si="0"/>
        <v>11850</v>
      </c>
      <c r="J22" s="36">
        <v>3950</v>
      </c>
      <c r="K22" s="12"/>
      <c r="L22" s="12">
        <f t="shared" si="1"/>
        <v>1316.6666666666667</v>
      </c>
      <c r="M22" s="12"/>
      <c r="N22" s="12">
        <f t="shared" si="2"/>
        <v>1975</v>
      </c>
      <c r="O22" s="12"/>
      <c r="P22" s="12">
        <f t="shared" si="3"/>
        <v>2962.5</v>
      </c>
      <c r="Q22" s="12"/>
      <c r="R22" s="50">
        <f t="shared" si="4"/>
        <v>5595.833333333333</v>
      </c>
      <c r="S22" s="36">
        <f t="shared" si="5"/>
        <v>1645.833333333333</v>
      </c>
    </row>
    <row r="23" spans="1:19" s="7" customFormat="1" ht="15.6" customHeight="1" x14ac:dyDescent="0.3">
      <c r="A23" s="4" t="s">
        <v>15</v>
      </c>
      <c r="B23" s="6" t="s">
        <v>14</v>
      </c>
      <c r="C23" s="12"/>
      <c r="D23" s="12"/>
      <c r="E23" s="12"/>
      <c r="F23" s="12"/>
      <c r="G23" s="12"/>
      <c r="H23" s="12"/>
      <c r="I23" s="43">
        <f t="shared" si="0"/>
        <v>0</v>
      </c>
      <c r="J23" s="36">
        <v>0</v>
      </c>
      <c r="K23" s="12"/>
      <c r="L23" s="12">
        <f t="shared" si="1"/>
        <v>0</v>
      </c>
      <c r="M23" s="12"/>
      <c r="N23" s="12">
        <f t="shared" si="2"/>
        <v>0</v>
      </c>
      <c r="O23" s="12"/>
      <c r="P23" s="12">
        <f t="shared" si="3"/>
        <v>0</v>
      </c>
      <c r="Q23" s="12"/>
      <c r="R23" s="50">
        <f t="shared" si="4"/>
        <v>0</v>
      </c>
      <c r="S23" s="36">
        <f t="shared" si="5"/>
        <v>0</v>
      </c>
    </row>
    <row r="24" spans="1:19" s="11" customFormat="1" ht="15.6" customHeight="1" x14ac:dyDescent="0.3">
      <c r="A24" s="5">
        <v>137</v>
      </c>
      <c r="B24" s="2" t="s">
        <v>16</v>
      </c>
      <c r="C24" s="13"/>
      <c r="D24" s="13">
        <v>2566.25</v>
      </c>
      <c r="E24" s="13"/>
      <c r="F24" s="13">
        <v>2566.25</v>
      </c>
      <c r="G24" s="13"/>
      <c r="H24" s="13">
        <v>2566.25</v>
      </c>
      <c r="I24" s="43">
        <f t="shared" si="0"/>
        <v>7698.75</v>
      </c>
      <c r="J24" s="35">
        <v>0</v>
      </c>
      <c r="K24" s="13"/>
      <c r="L24" s="13">
        <f t="shared" si="1"/>
        <v>855.41666666666663</v>
      </c>
      <c r="M24" s="13"/>
      <c r="N24" s="13">
        <f t="shared" si="2"/>
        <v>1283.125</v>
      </c>
      <c r="O24" s="13"/>
      <c r="P24" s="13">
        <f t="shared" si="3"/>
        <v>1924.6875</v>
      </c>
      <c r="Q24" s="13"/>
      <c r="R24" s="50">
        <f t="shared" si="4"/>
        <v>3635.5208333333335</v>
      </c>
      <c r="S24" s="35">
        <f t="shared" si="5"/>
        <v>3635.5208333333335</v>
      </c>
    </row>
    <row r="25" spans="1:19" s="7" customFormat="1" ht="15.6" customHeight="1" x14ac:dyDescent="0.3">
      <c r="A25" s="4">
        <v>139</v>
      </c>
      <c r="B25" s="6" t="s">
        <v>17</v>
      </c>
      <c r="C25" s="12"/>
      <c r="D25" s="12">
        <v>5032.13</v>
      </c>
      <c r="E25" s="12"/>
      <c r="F25" s="12">
        <v>5495.4</v>
      </c>
      <c r="G25" s="12"/>
      <c r="H25" s="12">
        <v>5495.4</v>
      </c>
      <c r="I25" s="43">
        <f t="shared" si="0"/>
        <v>16022.929999999998</v>
      </c>
      <c r="J25" s="36">
        <v>2643.75</v>
      </c>
      <c r="K25" s="12"/>
      <c r="L25" s="12">
        <f t="shared" si="1"/>
        <v>1677.3766666666668</v>
      </c>
      <c r="M25" s="12"/>
      <c r="N25" s="12">
        <f t="shared" si="2"/>
        <v>2747.7</v>
      </c>
      <c r="O25" s="12"/>
      <c r="P25" s="12">
        <f t="shared" si="3"/>
        <v>4121.5499999999993</v>
      </c>
      <c r="Q25" s="12"/>
      <c r="R25" s="50">
        <f t="shared" si="4"/>
        <v>7476.3033333333315</v>
      </c>
      <c r="S25" s="36">
        <f t="shared" si="5"/>
        <v>4832.5533333333315</v>
      </c>
    </row>
    <row r="26" spans="1:19" s="7" customFormat="1" ht="15.6" customHeight="1" x14ac:dyDescent="0.3">
      <c r="A26" s="4">
        <v>141</v>
      </c>
      <c r="B26" s="6" t="s">
        <v>17</v>
      </c>
      <c r="C26" s="12"/>
      <c r="D26" s="12"/>
      <c r="E26" s="12"/>
      <c r="F26" s="12"/>
      <c r="G26" s="12"/>
      <c r="H26" s="12"/>
      <c r="I26" s="43">
        <f t="shared" si="0"/>
        <v>0</v>
      </c>
      <c r="J26" s="36">
        <v>0</v>
      </c>
      <c r="K26" s="12"/>
      <c r="L26" s="12">
        <f t="shared" si="1"/>
        <v>0</v>
      </c>
      <c r="M26" s="12"/>
      <c r="N26" s="12">
        <f t="shared" si="2"/>
        <v>0</v>
      </c>
      <c r="O26" s="12"/>
      <c r="P26" s="12">
        <f t="shared" si="3"/>
        <v>0</v>
      </c>
      <c r="Q26" s="12"/>
      <c r="R26" s="50">
        <f t="shared" si="4"/>
        <v>0</v>
      </c>
      <c r="S26" s="36">
        <f t="shared" si="5"/>
        <v>0</v>
      </c>
    </row>
    <row r="27" spans="1:19" s="11" customFormat="1" ht="15.6" customHeight="1" x14ac:dyDescent="0.3">
      <c r="A27" s="5">
        <v>143</v>
      </c>
      <c r="B27" s="2" t="s">
        <v>18</v>
      </c>
      <c r="C27" s="13"/>
      <c r="D27" s="13">
        <v>2955.37</v>
      </c>
      <c r="E27" s="13"/>
      <c r="F27" s="13">
        <v>2955.38</v>
      </c>
      <c r="G27" s="13"/>
      <c r="H27" s="13">
        <v>2955.38</v>
      </c>
      <c r="I27" s="43">
        <f t="shared" si="0"/>
        <v>8866.130000000001</v>
      </c>
      <c r="J27" s="35">
        <v>0</v>
      </c>
      <c r="K27" s="13"/>
      <c r="L27" s="13">
        <f t="shared" si="1"/>
        <v>985.12333333333333</v>
      </c>
      <c r="M27" s="13"/>
      <c r="N27" s="13">
        <f t="shared" si="2"/>
        <v>1477.69</v>
      </c>
      <c r="O27" s="13"/>
      <c r="P27" s="13">
        <f t="shared" si="3"/>
        <v>2216.5349999999999</v>
      </c>
      <c r="Q27" s="13"/>
      <c r="R27" s="50">
        <f t="shared" si="4"/>
        <v>4186.7816666666677</v>
      </c>
      <c r="S27" s="35">
        <f t="shared" si="5"/>
        <v>4186.7816666666677</v>
      </c>
    </row>
    <row r="28" spans="1:19" s="7" customFormat="1" ht="15.6" customHeight="1" x14ac:dyDescent="0.3">
      <c r="A28" s="4">
        <v>145</v>
      </c>
      <c r="B28" s="6" t="s">
        <v>19</v>
      </c>
      <c r="C28" s="12"/>
      <c r="D28" s="12">
        <v>1513.64</v>
      </c>
      <c r="E28" s="12"/>
      <c r="F28" s="12">
        <v>3027.27</v>
      </c>
      <c r="G28" s="12"/>
      <c r="H28" s="12">
        <v>3027.27</v>
      </c>
      <c r="I28" s="43">
        <f t="shared" si="0"/>
        <v>7568.18</v>
      </c>
      <c r="J28" s="36">
        <v>2396.25</v>
      </c>
      <c r="K28" s="12"/>
      <c r="L28" s="12">
        <f t="shared" si="1"/>
        <v>504.54666666666668</v>
      </c>
      <c r="M28" s="12"/>
      <c r="N28" s="12">
        <f t="shared" si="2"/>
        <v>1513.635</v>
      </c>
      <c r="O28" s="12"/>
      <c r="P28" s="12">
        <f t="shared" si="3"/>
        <v>2270.4524999999999</v>
      </c>
      <c r="Q28" s="12"/>
      <c r="R28" s="50">
        <f t="shared" si="4"/>
        <v>3279.5458333333336</v>
      </c>
      <c r="S28" s="36">
        <f t="shared" si="5"/>
        <v>883.29583333333358</v>
      </c>
    </row>
    <row r="29" spans="1:19" s="11" customFormat="1" ht="15.6" customHeight="1" x14ac:dyDescent="0.3">
      <c r="A29" s="5">
        <v>149</v>
      </c>
      <c r="B29" s="2" t="s">
        <v>20</v>
      </c>
      <c r="C29" s="13"/>
      <c r="D29" s="13">
        <v>6342.88</v>
      </c>
      <c r="E29" s="13"/>
      <c r="F29" s="13">
        <v>6342.88</v>
      </c>
      <c r="G29" s="13"/>
      <c r="H29" s="13">
        <v>6342.88</v>
      </c>
      <c r="I29" s="43">
        <f t="shared" si="0"/>
        <v>19028.64</v>
      </c>
      <c r="J29" s="35">
        <v>0</v>
      </c>
      <c r="K29" s="13"/>
      <c r="L29" s="13">
        <f t="shared" si="1"/>
        <v>2114.2933333333335</v>
      </c>
      <c r="M29" s="13"/>
      <c r="N29" s="13">
        <f t="shared" si="2"/>
        <v>3171.44</v>
      </c>
      <c r="O29" s="13"/>
      <c r="P29" s="13">
        <f t="shared" si="3"/>
        <v>4757.16</v>
      </c>
      <c r="Q29" s="13"/>
      <c r="R29" s="50">
        <f t="shared" si="4"/>
        <v>8985.746666666666</v>
      </c>
      <c r="S29" s="35">
        <f t="shared" si="5"/>
        <v>8985.746666666666</v>
      </c>
    </row>
    <row r="30" spans="1:19" s="30" customFormat="1" ht="15.6" customHeight="1" x14ac:dyDescent="0.3">
      <c r="A30" s="27" t="s">
        <v>24</v>
      </c>
      <c r="B30" s="28" t="s">
        <v>21</v>
      </c>
      <c r="C30" s="29"/>
      <c r="D30" s="29">
        <v>350</v>
      </c>
      <c r="E30" s="29"/>
      <c r="F30" s="29">
        <v>350</v>
      </c>
      <c r="G30" s="29"/>
      <c r="H30" s="29">
        <v>350</v>
      </c>
      <c r="I30" s="44"/>
      <c r="J30" s="38">
        <v>0</v>
      </c>
      <c r="K30" s="29"/>
      <c r="L30" s="29">
        <v>350</v>
      </c>
      <c r="M30" s="29"/>
      <c r="N30" s="29">
        <v>350</v>
      </c>
      <c r="O30" s="29"/>
      <c r="P30" s="29">
        <v>350</v>
      </c>
      <c r="Q30" s="29"/>
      <c r="R30" s="52"/>
      <c r="S30" s="38"/>
    </row>
    <row r="31" spans="1:19" s="26" customFormat="1" ht="15.6" customHeight="1" x14ac:dyDescent="0.3">
      <c r="A31" s="23" t="s">
        <v>24</v>
      </c>
      <c r="B31" s="24" t="s">
        <v>23</v>
      </c>
      <c r="C31" s="31"/>
      <c r="D31" s="25">
        <v>250</v>
      </c>
      <c r="E31" s="31"/>
      <c r="F31" s="25">
        <v>250</v>
      </c>
      <c r="G31" s="31"/>
      <c r="H31" s="25">
        <v>250</v>
      </c>
      <c r="I31" s="46"/>
      <c r="J31" s="37">
        <v>0</v>
      </c>
      <c r="K31" s="31"/>
      <c r="L31" s="25">
        <v>250</v>
      </c>
      <c r="M31" s="31"/>
      <c r="N31" s="25">
        <v>250</v>
      </c>
      <c r="O31" s="31"/>
      <c r="P31" s="25">
        <v>250</v>
      </c>
      <c r="Q31" s="31"/>
      <c r="R31" s="52"/>
      <c r="S31" s="37"/>
    </row>
    <row r="32" spans="1:19" s="10" customFormat="1" ht="15.6" customHeight="1" x14ac:dyDescent="0.3">
      <c r="A32" s="9" t="s">
        <v>22</v>
      </c>
      <c r="B32" s="9"/>
      <c r="D32" s="16">
        <f>SUM(D4:D31)</f>
        <v>66094.92</v>
      </c>
      <c r="F32" s="16">
        <f>SUM(F4:F31)</f>
        <v>66073.62</v>
      </c>
      <c r="H32" s="16">
        <f>SUM(H4:H31)</f>
        <v>68303.37</v>
      </c>
      <c r="I32" s="16">
        <f>SUM(I5:I31)</f>
        <v>198671.90999999997</v>
      </c>
      <c r="J32" s="39">
        <f>SUM(J5:J31)</f>
        <v>32857.18</v>
      </c>
      <c r="L32" s="16">
        <f>SUM(L4:L31)</f>
        <v>22431.64</v>
      </c>
      <c r="N32" s="16">
        <f>SUM(N4:N31)</f>
        <v>33336.81</v>
      </c>
      <c r="P32" s="16">
        <f>SUM(P4:P31)</f>
        <v>51377.527500000011</v>
      </c>
      <c r="R32" s="39">
        <f>SUM(R5:R31)</f>
        <v>93325.932499999995</v>
      </c>
      <c r="S32" s="39">
        <f>SUM(S5:S31)</f>
        <v>60468.752499999995</v>
      </c>
    </row>
    <row r="36" spans="2:2" ht="15.6" customHeight="1" x14ac:dyDescent="0.3">
      <c r="B36" s="7"/>
    </row>
  </sheetData>
  <pageMargins left="0.25" right="0.25" top="0.75" bottom="0.75" header="0.3" footer="0.3"/>
  <pageSetup scale="82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cp:lastPrinted>2020-03-27T16:20:38Z</cp:lastPrinted>
  <dcterms:created xsi:type="dcterms:W3CDTF">2020-03-25T19:25:01Z</dcterms:created>
  <dcterms:modified xsi:type="dcterms:W3CDTF">2020-03-27T16:22:33Z</dcterms:modified>
</cp:coreProperties>
</file>